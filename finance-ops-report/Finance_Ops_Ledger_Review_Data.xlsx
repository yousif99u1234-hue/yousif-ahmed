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Map" sheetId="1" state="visible" r:id="rId3"/>
    <sheet name="Invoices" sheetId="2" state="visible" r:id="rId4"/>
    <sheet name="Line Items" sheetId="3" state="visible" r:id="rId5"/>
    <sheet name="Summary" sheetId="4" state="visible" r:id="rId6"/>
    <sheet name="Monthly by Category" sheetId="5" state="visible" r:id="rId7"/>
    <sheet name="Suppliers" sheetId="6" state="visible" r:id="rId8"/>
    <sheet name="Decision Queue" sheetId="7" state="visible" r:id="rId9"/>
    <sheet name="Control Checks" sheetId="8" state="visible" r:id="rId10"/>
    <sheet name="Recurring Costs" sheetId="9" state="visible" r:id="rId11"/>
  </sheets>
  <definedNames>
    <definedName function="false" hidden="true" localSheetId="1" name="_xlnm._FilterDatabase" vbProcedure="false">Invoices!$A$4:$S$34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6" authorId="0">
      <text>
        <r>
          <rPr>
            <sz val="10"/>
            <rFont val="Arial"/>
            <family val="2"/>
          </rPr>
          <t xml:space="preserve">Hardcoded input. Source: reports/stage4/RESULTS.md, 'Extraction accuracy: 90 of 90 fields correct'.</t>
        </r>
      </text>
    </comment>
  </commentList>
</comments>
</file>

<file path=xl/sharedStrings.xml><?xml version="1.0" encoding="utf-8"?>
<sst xmlns="http://schemas.openxmlformats.org/spreadsheetml/2006/main" count="900" uniqueCount="416">
  <si>
    <t xml:space="preserve">Finance Ops Ledger Review: data workbook</t>
  </si>
  <si>
    <t xml:space="preserve">This workbook is the source of every number in the interactive report. Each figure below links to the cell that calculates it.</t>
  </si>
  <si>
    <t xml:space="preserve">FICTIONAL TEST DATA: 30 invoices from the Finance Ops Agent Stage 4 test (data/stage4_test.db). Not a real company's accounts.</t>
  </si>
  <si>
    <t xml:space="preserve">Report section</t>
  </si>
  <si>
    <t xml:space="preserve">Figure shown in the report</t>
  </si>
  <si>
    <t xml:space="preserve">Value</t>
  </si>
  <si>
    <t xml:space="preserve">Source cell</t>
  </si>
  <si>
    <t xml:space="preserve">Top row</t>
  </si>
  <si>
    <t xml:space="preserve">Approved September spend (IQD)</t>
  </si>
  <si>
    <t xml:space="preserve">Summary → C5</t>
  </si>
  <si>
    <t xml:space="preserve">Change vs August</t>
  </si>
  <si>
    <t xml:space="preserve">Summary → C7</t>
  </si>
  <si>
    <t xml:space="preserve">Approved September spend (USD)</t>
  </si>
  <si>
    <t xml:space="preserve">Summary → C8</t>
  </si>
  <si>
    <t xml:space="preserve">Waiting for a decision (IQD)</t>
  </si>
  <si>
    <t xml:space="preserve">Summary → C11</t>
  </si>
  <si>
    <t xml:space="preserve">Duplicate payment blocked (IQD)</t>
  </si>
  <si>
    <t xml:space="preserve">Summary → C14</t>
  </si>
  <si>
    <t xml:space="preserve">Fields read correctly</t>
  </si>
  <si>
    <t xml:space="preserve">Summary → C16</t>
  </si>
  <si>
    <t xml:space="preserve">1 · Decision queue</t>
  </si>
  <si>
    <t xml:space="preserve">P-0018 Babel amount</t>
  </si>
  <si>
    <t xml:space="preserve">Decision Queue → D5</t>
  </si>
  <si>
    <t xml:space="preserve">P-0024 Al-Nakheel amount</t>
  </si>
  <si>
    <t xml:space="preserve">Decision Queue → D6</t>
  </si>
  <si>
    <t xml:space="preserve">P-0025 Al-Amin amount</t>
  </si>
  <si>
    <t xml:space="preserve">Decision Queue → D7</t>
  </si>
  <si>
    <t xml:space="preserve">2 · What-if</t>
  </si>
  <si>
    <t xml:space="preserve">Projected September (with your Y/N choices)</t>
  </si>
  <si>
    <t xml:space="preserve">Decision Queue → D12</t>
  </si>
  <si>
    <t xml:space="preserve">3 · Timeline</t>
  </si>
  <si>
    <t xml:space="preserve">Number of invoices (one dot each)</t>
  </si>
  <si>
    <t xml:space="preserve">Invoices → A5</t>
  </si>
  <si>
    <t xml:space="preserve">4 · Monthly by category</t>
  </si>
  <si>
    <t xml:space="preserve">Total IQD, September</t>
  </si>
  <si>
    <t xml:space="preserve">Monthly by Category → E13</t>
  </si>
  <si>
    <t xml:space="preserve">Total IQD, August</t>
  </si>
  <si>
    <t xml:space="preserve">Monthly by Category → D13</t>
  </si>
  <si>
    <t xml:space="preserve">Total IQD, July</t>
  </si>
  <si>
    <t xml:space="preserve">Monthly by Category → C13</t>
  </si>
  <si>
    <t xml:space="preserve">5 · USD spend</t>
  </si>
  <si>
    <t xml:space="preserve">USD, September</t>
  </si>
  <si>
    <t xml:space="preserve">Monthly by Category → E19</t>
  </si>
  <si>
    <t xml:space="preserve">6 · Suppliers</t>
  </si>
  <si>
    <t xml:space="preserve">Babel approved total</t>
  </si>
  <si>
    <t xml:space="preserve">Suppliers → D5</t>
  </si>
  <si>
    <t xml:space="preserve">Total approved IQD, Jun–Sep</t>
  </si>
  <si>
    <t xml:space="preserve">Suppliers → D13</t>
  </si>
  <si>
    <t xml:space="preserve">7 · Supplier × month</t>
  </si>
  <si>
    <t xml:space="preserve">Babel, September (one cell of the grid)</t>
  </si>
  <si>
    <t xml:space="preserve">Suppliers → M5</t>
  </si>
  <si>
    <t xml:space="preserve">8 · Control checks</t>
  </si>
  <si>
    <t xml:space="preserve">Total warnings, September</t>
  </si>
  <si>
    <t xml:space="preserve">Control Checks → C13</t>
  </si>
  <si>
    <t xml:space="preserve">9 · Strategy</t>
  </si>
  <si>
    <t xml:space="preserve">Fixed monthly IQD (generator + internet)</t>
  </si>
  <si>
    <t xml:space="preserve">Recurring Costs → G10</t>
  </si>
  <si>
    <t xml:space="preserve">Sheets</t>
  </si>
  <si>
    <t xml:space="preserve">Invoices</t>
  </si>
  <si>
    <t xml:space="preserve">Source data: one row per invoice. Every other sheet calculates from here.</t>
  </si>
  <si>
    <t xml:space="preserve">Line Items</t>
  </si>
  <si>
    <t xml:space="preserve">Items on each September invoice, with an add-up check.</t>
  </si>
  <si>
    <t xml:space="preserve">Summary</t>
  </si>
  <si>
    <t xml:space="preserve">Key figures (report top row).</t>
  </si>
  <si>
    <t xml:space="preserve">Monthly by Category</t>
  </si>
  <si>
    <t xml:space="preserve">Report sections 4 and 5.</t>
  </si>
  <si>
    <t xml:space="preserve">Suppliers</t>
  </si>
  <si>
    <t xml:space="preserve">Report sections 6 and 7.</t>
  </si>
  <si>
    <t xml:space="preserve">Decision Queue</t>
  </si>
  <si>
    <t xml:space="preserve">Report sections 1 and 2, with an editable what-if.</t>
  </si>
  <si>
    <t xml:space="preserve">Control Checks</t>
  </si>
  <si>
    <t xml:space="preserve">Report section 8.</t>
  </si>
  <si>
    <t xml:space="preserve">Recurring Costs</t>
  </si>
  <si>
    <t xml:space="preserve">Report section 9, strategy decision 5.</t>
  </si>
  <si>
    <t xml:space="preserve">Colour key: blue = value from the ledger or an input · black = formula · green = link to another sheet · yellow = cell you may edit.</t>
  </si>
  <si>
    <t xml:space="preserve">Invoice register (source data)</t>
  </si>
  <si>
    <t xml:space="preserve">One row per invoice, exported from data/stage4_test.db (pending + ledger tables). FICTIONAL TEST DATA. Blue = values from the ledger; black = formulas.</t>
  </si>
  <si>
    <t xml:space="preserve">Ref</t>
  </si>
  <si>
    <t xml:space="preserve">Ledger ID</t>
  </si>
  <si>
    <t xml:space="preserve">Supplier (Arabic)</t>
  </si>
  <si>
    <t xml:space="preserve">Supplier</t>
  </si>
  <si>
    <t xml:space="preserve">Category</t>
  </si>
  <si>
    <t xml:space="preserve">Invoice no.</t>
  </si>
  <si>
    <t xml:space="preserve">Tax no.</t>
  </si>
  <si>
    <t xml:space="preserve">Invoice date</t>
  </si>
  <si>
    <t xml:space="preserve">Month</t>
  </si>
  <si>
    <t xml:space="preserve">Weekday</t>
  </si>
  <si>
    <t xml:space="preserve">Currency</t>
  </si>
  <si>
    <t xml:space="preserve">Amount</t>
  </si>
  <si>
    <t xml:space="preserve">Status</t>
  </si>
  <si>
    <t xml:space="preserve">Batch</t>
  </si>
  <si>
    <t xml:space="preserve">Source file</t>
  </si>
  <si>
    <t xml:space="preserve">Decided by</t>
  </si>
  <si>
    <t xml:space="preserve">Decision note</t>
  </si>
  <si>
    <t xml:space="preserve">Warning at staging</t>
  </si>
  <si>
    <t xml:space="preserve">Warning detail</t>
  </si>
  <si>
    <t xml:space="preserve">P-0010</t>
  </si>
  <si>
    <t xml:space="preserve">L-0010</t>
  </si>
  <si>
    <t xml:space="preserve">مولدة أور الأهلية</t>
  </si>
  <si>
    <t xml:space="preserve">Ur Generator</t>
  </si>
  <si>
    <t xml:space="preserve">Utilities</t>
  </si>
  <si>
    <t xml:space="preserve">UR-06-2026-098</t>
  </si>
  <si>
    <t xml:space="preserve">300660913</t>
  </si>
  <si>
    <t xml:space="preserve">IQD</t>
  </si>
  <si>
    <t xml:space="preserve">approved</t>
  </si>
  <si>
    <t xml:space="preserve">Seed history</t>
  </si>
  <si>
    <t xml:space="preserve">seed: prior months</t>
  </si>
  <si>
    <t xml:space="preserve">seed history (test)</t>
  </si>
  <si>
    <t xml:space="preserve">P-0011</t>
  </si>
  <si>
    <t xml:space="preserve">L-0011</t>
  </si>
  <si>
    <t xml:space="preserve">UR-07-2026-104</t>
  </si>
  <si>
    <t xml:space="preserve">P-0001</t>
  </si>
  <si>
    <t xml:space="preserve">L-0001</t>
  </si>
  <si>
    <t xml:space="preserve">شركة دجلة للتجهيزات المكتبية</t>
  </si>
  <si>
    <t xml:space="preserve">Dijla Office Supplies</t>
  </si>
  <si>
    <t xml:space="preserve">Office supplies</t>
  </si>
  <si>
    <t xml:space="preserve">DJ-2026-0611</t>
  </si>
  <si>
    <t xml:space="preserve">300418275</t>
  </si>
  <si>
    <t xml:space="preserve">P-0013</t>
  </si>
  <si>
    <t xml:space="preserve">L-0013</t>
  </si>
  <si>
    <t xml:space="preserve">Gulf Bridge IT Trading LLC</t>
  </si>
  <si>
    <t xml:space="preserve">Gulf Bridge IT</t>
  </si>
  <si>
    <t xml:space="preserve">IT (USD)</t>
  </si>
  <si>
    <t xml:space="preserve">GB-INV-54710</t>
  </si>
  <si>
    <t xml:space="preserve">100234567800003</t>
  </si>
  <si>
    <t xml:space="preserve">USD</t>
  </si>
  <si>
    <t xml:space="preserve">P-0004</t>
  </si>
  <si>
    <t xml:space="preserve">L-0004</t>
  </si>
  <si>
    <t xml:space="preserve">مؤسسة النخيل للمواد الغذائية</t>
  </si>
  <si>
    <t xml:space="preserve">Al-Nakheel Foodstuffs</t>
  </si>
  <si>
    <t xml:space="preserve">Pantry</t>
  </si>
  <si>
    <t xml:space="preserve">NK/1031</t>
  </si>
  <si>
    <t xml:space="preserve">300552190</t>
  </si>
  <si>
    <t xml:space="preserve">P-0007</t>
  </si>
  <si>
    <t xml:space="preserve">L-0007</t>
  </si>
  <si>
    <t xml:space="preserve">شركة بابل للمقاولات والصيانة</t>
  </si>
  <si>
    <t xml:space="preserve">Babel Maintenance</t>
  </si>
  <si>
    <t xml:space="preserve">Maintenance</t>
  </si>
  <si>
    <t xml:space="preserve">BB-0331</t>
  </si>
  <si>
    <t xml:space="preserve">300731044</t>
  </si>
  <si>
    <t xml:space="preserve">P-0002</t>
  </si>
  <si>
    <t xml:space="preserve">L-0002</t>
  </si>
  <si>
    <t xml:space="preserve">DJ-2026-0688</t>
  </si>
  <si>
    <t xml:space="preserve">P-0005</t>
  </si>
  <si>
    <t xml:space="preserve">L-0005</t>
  </si>
  <si>
    <t xml:space="preserve">NK/1092</t>
  </si>
  <si>
    <t xml:space="preserve">P-0012</t>
  </si>
  <si>
    <t xml:space="preserve">L-0012</t>
  </si>
  <si>
    <t xml:space="preserve">UR-08-2026-111</t>
  </si>
  <si>
    <t xml:space="preserve">P-0008</t>
  </si>
  <si>
    <t xml:space="preserve">L-0008</t>
  </si>
  <si>
    <t xml:space="preserve">BB-0352</t>
  </si>
  <si>
    <t xml:space="preserve">P-0014</t>
  </si>
  <si>
    <t xml:space="preserve">L-0014</t>
  </si>
  <si>
    <t xml:space="preserve">GB-INV-54866</t>
  </si>
  <si>
    <t xml:space="preserve">P-0003</t>
  </si>
  <si>
    <t xml:space="preserve">L-0003</t>
  </si>
  <si>
    <t xml:space="preserve">DJ-2026-0794</t>
  </si>
  <si>
    <t xml:space="preserve">P-0015</t>
  </si>
  <si>
    <t xml:space="preserve">L-0015</t>
  </si>
  <si>
    <t xml:space="preserve">GB-INV-54930</t>
  </si>
  <si>
    <t xml:space="preserve">P-0006</t>
  </si>
  <si>
    <t xml:space="preserve">L-0006</t>
  </si>
  <si>
    <t xml:space="preserve">NK/1140</t>
  </si>
  <si>
    <t xml:space="preserve">P-0009</t>
  </si>
  <si>
    <t xml:space="preserve">L-0009</t>
  </si>
  <si>
    <t xml:space="preserve">BB-0377</t>
  </si>
  <si>
    <t xml:space="preserve">P-0019</t>
  </si>
  <si>
    <t xml:space="preserve">L-0018</t>
  </si>
  <si>
    <t xml:space="preserve">UR-09-2026-117</t>
  </si>
  <si>
    <t xml:space="preserve">September sample</t>
  </si>
  <si>
    <t xml:space="preserve">samples/inv04_ur_generator.jpg</t>
  </si>
  <si>
    <t xml:space="preserve">Test manager (simulated, Stage 4)</t>
  </si>
  <si>
    <t xml:space="preserve">clean / verified (test)</t>
  </si>
  <si>
    <t xml:space="preserve">P-0027</t>
  </si>
  <si>
    <t xml:space="preserve">L-0023</t>
  </si>
  <si>
    <t xml:space="preserve">شركة نبض الشبكة لخدمات الإنترنت</t>
  </si>
  <si>
    <t xml:space="preserve">Nabd Internet</t>
  </si>
  <si>
    <t xml:space="preserve">NB-77310</t>
  </si>
  <si>
    <t xml:space="preserve">300927358</t>
  </si>
  <si>
    <t xml:space="preserve">samples/inv12_nabd_internet.pdf</t>
  </si>
  <si>
    <t xml:space="preserve">P-0016</t>
  </si>
  <si>
    <t xml:space="preserve">L-0016</t>
  </si>
  <si>
    <t xml:space="preserve">DJ-2026-0917</t>
  </si>
  <si>
    <t xml:space="preserve">samples/inv01_dijla.pdf</t>
  </si>
  <si>
    <t xml:space="preserve">P-0017</t>
  </si>
  <si>
    <t xml:space="preserve">L-0017</t>
  </si>
  <si>
    <t xml:space="preserve">NK/1184</t>
  </si>
  <si>
    <t xml:space="preserve">samples/inv02_nakheel.pdf</t>
  </si>
  <si>
    <t xml:space="preserve">P-0018</t>
  </si>
  <si>
    <t xml:space="preserve">BB-0392</t>
  </si>
  <si>
    <t xml:space="preserve">pending</t>
  </si>
  <si>
    <t xml:space="preserve">samples/inv03_babel.pdf</t>
  </si>
  <si>
    <t xml:space="preserve">Unusually large</t>
  </si>
  <si>
    <t xml:space="preserve">3.2x supplier average of 2,083,333 IQD</t>
  </si>
  <si>
    <t xml:space="preserve">P-0020</t>
  </si>
  <si>
    <t xml:space="preserve">L-0019</t>
  </si>
  <si>
    <t xml:space="preserve">GB-INV-55021</t>
  </si>
  <si>
    <t xml:space="preserve">samples/inv05_gulfbridge.pdf</t>
  </si>
  <si>
    <t xml:space="preserve">P-0026</t>
  </si>
  <si>
    <t xml:space="preserve">L-0022</t>
  </si>
  <si>
    <t xml:space="preserve">مطبعة المنصور الحديثة</t>
  </si>
  <si>
    <t xml:space="preserve">Al-Mansour Press</t>
  </si>
  <si>
    <t xml:space="preserve">Printing &amp; marketing</t>
  </si>
  <si>
    <t xml:space="preserve">MP-2291</t>
  </si>
  <si>
    <t xml:space="preserve">300814467</t>
  </si>
  <si>
    <t xml:space="preserve">samples/inv11_mansour_press.pdf</t>
  </si>
  <si>
    <t xml:space="preserve">P-0021</t>
  </si>
  <si>
    <t xml:space="preserve">L-0020</t>
  </si>
  <si>
    <t xml:space="preserve">DJ-2026-0952</t>
  </si>
  <si>
    <t xml:space="preserve">samples/inv06_dijla.pdf</t>
  </si>
  <si>
    <t xml:space="preserve">P-0022</t>
  </si>
  <si>
    <t xml:space="preserve">rejected</t>
  </si>
  <si>
    <t xml:space="preserve">samples/inv07_dijla_photo.jpg</t>
  </si>
  <si>
    <t xml:space="preserve">Duplicate of P-0021 (photo of same invoice)</t>
  </si>
  <si>
    <t xml:space="preserve">Exact duplicate</t>
  </si>
  <si>
    <t xml:space="preserve">Same invoice no. DJ-2026-0952 as P-0021 (photo of same paper invoice)</t>
  </si>
  <si>
    <t xml:space="preserve">P-0025</t>
  </si>
  <si>
    <t xml:space="preserve">ورشة الأمين لتصليح السيارات</t>
  </si>
  <si>
    <t xml:space="preserve">Al-Amin Auto Workshop</t>
  </si>
  <si>
    <t xml:space="preserve">Vehicles</t>
  </si>
  <si>
    <t xml:space="preserve">٠٤٣١</t>
  </si>
  <si>
    <t xml:space="preserve">MISSING</t>
  </si>
  <si>
    <t xml:space="preserve">samples/inv10_amin_workshop.jpg</t>
  </si>
  <si>
    <t xml:space="preserve">Weekend date; No tax number</t>
  </si>
  <si>
    <t xml:space="preserve">Friday 18 Sep 2026; no tax number printed; new supplier</t>
  </si>
  <si>
    <t xml:space="preserve">P-0023</t>
  </si>
  <si>
    <t xml:space="preserve">L-0021</t>
  </si>
  <si>
    <t xml:space="preserve">NK/1207</t>
  </si>
  <si>
    <t xml:space="preserve">samples/inv08_nakheel.pdf</t>
  </si>
  <si>
    <t xml:space="preserve">P-0028</t>
  </si>
  <si>
    <t xml:space="preserve">L-0024</t>
  </si>
  <si>
    <t xml:space="preserve">BB-0401</t>
  </si>
  <si>
    <t xml:space="preserve">samples/inv13_babel.pdf</t>
  </si>
  <si>
    <t xml:space="preserve">P-0024</t>
  </si>
  <si>
    <t xml:space="preserve">NK/1213</t>
  </si>
  <si>
    <t xml:space="preserve">samples/inv09_nakheel.pdf</t>
  </si>
  <si>
    <t xml:space="preserve">Probable duplicate</t>
  </si>
  <si>
    <t xml:space="preserve">Same supplier &amp; amount as P-0023, 2 days apart, identical items</t>
  </si>
  <si>
    <t xml:space="preserve">P-0029</t>
  </si>
  <si>
    <t xml:space="preserve">L-0025</t>
  </si>
  <si>
    <t xml:space="preserve">GB-INV-55108</t>
  </si>
  <si>
    <t xml:space="preserve">samples/inv14_gulfbridge.pdf</t>
  </si>
  <si>
    <t xml:space="preserve">P-0030</t>
  </si>
  <si>
    <t xml:space="preserve">L-0026</t>
  </si>
  <si>
    <t xml:space="preserve">مكتب الكرخ للاستشارات المحاسبية</t>
  </si>
  <si>
    <t xml:space="preserve">Al-Karkh Accounting</t>
  </si>
  <si>
    <t xml:space="preserve">Professional fees</t>
  </si>
  <si>
    <t xml:space="preserve">KA-2026-031</t>
  </si>
  <si>
    <t xml:space="preserve">300349902</t>
  </si>
  <si>
    <t xml:space="preserve">samples/inv15_karkh_accounting.pdf</t>
  </si>
  <si>
    <t xml:space="preserve">Notes</t>
  </si>
  <si>
    <t xml:space="preserve">USD amounts stored in the ledger in cents; shown here in dollars. IQD and USD are never converted or added together.</t>
  </si>
  <si>
    <t xml:space="preserve">Orange rows = waiting for approval (not counted in totals). Red row = rejected (kept on record, never deleted).</t>
  </si>
  <si>
    <t xml:space="preserve">Categories assigned per supplier for this review; they are not stored in the ledger.</t>
  </si>
  <si>
    <t xml:space="preserve">Invoice line items (September sample invoices)</t>
  </si>
  <si>
    <t xml:space="preserve">From items_json in the ledger. The check column proves the lines add up to each invoice total.</t>
  </si>
  <si>
    <t xml:space="preserve">Item (Arabic)</t>
  </si>
  <si>
    <t xml:space="preserve">Qty</t>
  </si>
  <si>
    <t xml:space="preserve">Line total</t>
  </si>
  <si>
    <t xml:space="preserve">Sum of lines</t>
  </si>
  <si>
    <t xml:space="preserve">Invoice amount</t>
  </si>
  <si>
    <t xml:space="preserve">Difference</t>
  </si>
  <si>
    <t xml:space="preserve">Check</t>
  </si>
  <si>
    <t xml:space="preserve">اشتراك مولدة - شهر آب (أمبير)</t>
  </si>
  <si>
    <t xml:space="preserve">اشتراك إنترنت فايبر 100 ميكا - شهر أيلول</t>
  </si>
  <si>
    <t xml:space="preserve">إيجار راوتر</t>
  </si>
  <si>
    <t xml:space="preserve">ورق A4 (رزمة ٥٠٠ ورقة)</t>
  </si>
  <si>
    <t xml:space="preserve">حبر طابعة HP 85A</t>
  </si>
  <si>
    <t xml:space="preserve">ملفات بلاستيكية</t>
  </si>
  <si>
    <t xml:space="preserve">أقلام جاف (علبة)</t>
  </si>
  <si>
    <t xml:space="preserve">شاي ٥٠٠ غم</t>
  </si>
  <si>
    <t xml:space="preserve">سكر كيس ٥٠ كغم</t>
  </si>
  <si>
    <t xml:space="preserve">ماء معدني (كارتون)</t>
  </si>
  <si>
    <t xml:space="preserve">قهوة عربية ٥٠٠ غم</t>
  </si>
  <si>
    <t xml:space="preserve">تبديل كمبرسر منظومة التبريد المركزي</t>
  </si>
  <si>
    <t xml:space="preserve">غاز تبريد R410A (قنينة)</t>
  </si>
  <si>
    <t xml:space="preserve">أجور عمل فنيين (٤ أيام)</t>
  </si>
  <si>
    <t xml:space="preserve">Ubiquiti U6-Pro access point</t>
  </si>
  <si>
    <t xml:space="preserve">Cat6 cable, 305 m box</t>
  </si>
  <si>
    <t xml:space="preserve">Installation and configuration</t>
  </si>
  <si>
    <t xml:space="preserve">بطاقات عمل (علبة ١٠٠)</t>
  </si>
  <si>
    <t xml:space="preserve">مطويات A4 ملونة</t>
  </si>
  <si>
    <t xml:space="preserve">فولدرات مطبوعة</t>
  </si>
  <si>
    <t xml:space="preserve">خصم</t>
  </si>
  <si>
    <t xml:space="preserve">كرسي مكتب دوار</t>
  </si>
  <si>
    <t xml:space="preserve">طاولة طابعة</t>
  </si>
  <si>
    <t xml:space="preserve">تبديل فحمات أمامية</t>
  </si>
  <si>
    <t xml:space="preserve">زيت محرك + فلتر</t>
  </si>
  <si>
    <t xml:space="preserve">أجور تصليح</t>
  </si>
  <si>
    <t xml:space="preserve">بسكويت (كارتون)</t>
  </si>
  <si>
    <t xml:space="preserve">صيانة دورية للمولدة الاحتياطية</t>
  </si>
  <si>
    <t xml:space="preserve">تبديل فلاتر</t>
  </si>
  <si>
    <t xml:space="preserve">زيت محرك (برميل صغير)</t>
  </si>
  <si>
    <t xml:space="preserve">Microsoft 365 Business Standard, annual</t>
  </si>
  <si>
    <t xml:space="preserve">Endpoint antivirus licence, annual</t>
  </si>
  <si>
    <t xml:space="preserve">أتعاب إعداد الحسابات الختامية - الربع الثالث ٢٠٢٦</t>
  </si>
  <si>
    <t xml:space="preserve">Finance Ops Ledger Review: key figures</t>
  </si>
  <si>
    <t xml:space="preserve">Every figure is a formula over the Invoices sheet. These are the numbers shown in the report's top row.</t>
  </si>
  <si>
    <t xml:space="preserve">#</t>
  </si>
  <si>
    <t xml:space="preserve">Key figure</t>
  </si>
  <si>
    <t xml:space="preserve">Unit</t>
  </si>
  <si>
    <t xml:space="preserve">How it is calculated</t>
  </si>
  <si>
    <t xml:space="preserve">Approved spend, September 2026</t>
  </si>
  <si>
    <t xml:space="preserve">Approved IQD invoices dated September</t>
  </si>
  <si>
    <t xml:space="preserve">Approved spend, August 2026</t>
  </si>
  <si>
    <t xml:space="preserve">Approved IQD invoices dated August</t>
  </si>
  <si>
    <t xml:space="preserve">Change September vs August</t>
  </si>
  <si>
    <t xml:space="preserve">%</t>
  </si>
  <si>
    <t xml:space="preserve">(Sep / Aug) − 1</t>
  </si>
  <si>
    <t xml:space="preserve">Approved USD invoices dated September</t>
  </si>
  <si>
    <t xml:space="preserve">Approved USD invoices dated August</t>
  </si>
  <si>
    <t xml:space="preserve">Change September vs August (USD)</t>
  </si>
  <si>
    <t xml:space="preserve">Waiting for a decision</t>
  </si>
  <si>
    <t xml:space="preserve">All pending IQD invoices</t>
  </si>
  <si>
    <t xml:space="preserve">Pending invoices (count)</t>
  </si>
  <si>
    <t xml:space="preserve">invoices</t>
  </si>
  <si>
    <t xml:space="preserve">Count of pending</t>
  </si>
  <si>
    <t xml:space="preserve">Pending as share of September approved spend</t>
  </si>
  <si>
    <t xml:space="preserve">Pending IQD / September approved IQD</t>
  </si>
  <si>
    <t xml:space="preserve">Duplicate payment blocked</t>
  </si>
  <si>
    <t xml:space="preserve">Rejected invoice flagged as exact duplicate</t>
  </si>
  <si>
    <t xml:space="preserve">Approved invoices, September (count)</t>
  </si>
  <si>
    <t xml:space="preserve">IQD + USD</t>
  </si>
  <si>
    <t xml:space="preserve">Fields read correctly in agent test</t>
  </si>
  <si>
    <t xml:space="preserve">of 90</t>
  </si>
  <si>
    <t xml:space="preserve">Input from reports/stage4/RESULTS.md (15 invoices × 6 fields)</t>
  </si>
  <si>
    <t xml:space="preserve">Approved IQD spend, June–September</t>
  </si>
  <si>
    <t xml:space="preserve">All approved IQD</t>
  </si>
  <si>
    <t xml:space="preserve">Approved USD spend, June–September</t>
  </si>
  <si>
    <t xml:space="preserve">All approved USD</t>
  </si>
  <si>
    <t xml:space="preserve">Approved spend per month, by category</t>
  </si>
  <si>
    <t xml:space="preserve">Report sections 4 and 5. SUMIFS over the Invoices sheet; approved invoices only.</t>
  </si>
  <si>
    <t xml:space="preserve">2026-06</t>
  </si>
  <si>
    <t xml:space="preserve">2026-07</t>
  </si>
  <si>
    <t xml:space="preserve">2026-08</t>
  </si>
  <si>
    <t xml:space="preserve">2026-09</t>
  </si>
  <si>
    <t xml:space="preserve">Total</t>
  </si>
  <si>
    <t xml:space="preserve">Share</t>
  </si>
  <si>
    <t xml:space="preserve">Total IQD</t>
  </si>
  <si>
    <t xml:space="preserve">Change vs previous month</t>
  </si>
  <si>
    <t xml:space="preserve">June holds one seeded history invoice only (Ur Generator); not a full month.</t>
  </si>
  <si>
    <t xml:space="preserve">Supplier analysis</t>
  </si>
  <si>
    <t xml:space="preserve">Report sections 6 and 7. Approved and pending totals, average invoice, and approved spend per month.</t>
  </si>
  <si>
    <t xml:space="preserve">Approved total</t>
  </si>
  <si>
    <t xml:space="preserve">Approved invoices</t>
  </si>
  <si>
    <t xml:space="preserve">Average invoice</t>
  </si>
  <si>
    <t xml:space="preserve">Pending total</t>
  </si>
  <si>
    <t xml:space="preserve">Approved + pending</t>
  </si>
  <si>
    <t xml:space="preserve">Share of approved</t>
  </si>
  <si>
    <t xml:space="preserve">n/a (USD)</t>
  </si>
  <si>
    <t xml:space="preserve">Decision queue and September what-if</t>
  </si>
  <si>
    <t xml:space="preserve">Report sections 1 and 2. Change the yellow cells (Y/N) to see September's total if a pending invoice were approved.</t>
  </si>
  <si>
    <t xml:space="preserve">Amount (IQD)</t>
  </si>
  <si>
    <t xml:space="preserve">Warning</t>
  </si>
  <si>
    <t xml:space="preserve">Detail</t>
  </si>
  <si>
    <t xml:space="preserve">Recommended next step</t>
  </si>
  <si>
    <t xml:space="preserve">Include in what-if? (Y/N)</t>
  </si>
  <si>
    <t xml:space="preserve">Hold · verify work order, labour detail and a second quote</t>
  </si>
  <si>
    <t xml:space="preserve">N</t>
  </si>
  <si>
    <t xml:space="preserve">Hold · confirm whether two deliveries arrived; reject if re-issue</t>
  </si>
  <si>
    <t xml:space="preserve">Get tax number, then approve</t>
  </si>
  <si>
    <t xml:space="preserve">Done · rejected as duplicate of L-0020</t>
  </si>
  <si>
    <t xml:space="preserve">September approved (IQD)</t>
  </si>
  <si>
    <t xml:space="preserve">Pending included in what-if</t>
  </si>
  <si>
    <t xml:space="preserve">Projected September (IQD)</t>
  </si>
  <si>
    <t xml:space="preserve">Legend: yellow cells are the only cells to edit (Y = include the invoice as if approved). Green = looked up from Invoices.</t>
  </si>
  <si>
    <t xml:space="preserve">Warning rules: what the agent caught</t>
  </si>
  <si>
    <t xml:space="preserve">Report section 8. Counts September invoices whose staging warning contains each rule name.</t>
  </si>
  <si>
    <t xml:space="preserve">Rule</t>
  </si>
  <si>
    <t xml:space="preserve">What it checks</t>
  </si>
  <si>
    <t xml:space="preserve">Triggered (Sep)</t>
  </si>
  <si>
    <t xml:space="preserve">What to do</t>
  </si>
  <si>
    <t xml:space="preserve">Same supplier and same invoice number as another entry</t>
  </si>
  <si>
    <t xml:space="preserve">Approve only one copy.</t>
  </si>
  <si>
    <t xml:space="preserve">Same supplier and same amount within 7 days</t>
  </si>
  <si>
    <t xml:space="preserve">Compare items or ask the supplier.</t>
  </si>
  <si>
    <t xml:space="preserve">More than 2× the supplier's normal amount (needs 3 approved invoices)</t>
  </si>
  <si>
    <t xml:space="preserve">Check against the work or purchase order.</t>
  </si>
  <si>
    <t xml:space="preserve">Weekend date</t>
  </si>
  <si>
    <t xml:space="preserve">Dated Friday or Saturday</t>
  </si>
  <si>
    <t xml:space="preserve">Confirm the delivery or service happened.</t>
  </si>
  <si>
    <t xml:space="preserve">No tax number</t>
  </si>
  <si>
    <t xml:space="preserve">Supplier tax number not printed</t>
  </si>
  <si>
    <t xml:space="preserve">Ask the supplier for it.</t>
  </si>
  <si>
    <t xml:space="preserve">Future date</t>
  </si>
  <si>
    <t xml:space="preserve">Dated after today</t>
  </si>
  <si>
    <t xml:space="preserve">—</t>
  </si>
  <si>
    <t xml:space="preserve">Usually day/month swapped. Note: a swap giving a valid past date is NOT caught.</t>
  </si>
  <si>
    <t xml:space="preserve">Items don't add up</t>
  </si>
  <si>
    <t xml:space="preserve">Line items don't match the printed total</t>
  </si>
  <si>
    <t xml:space="preserve">Check the original invoice.</t>
  </si>
  <si>
    <t xml:space="preserve">Total warnings</t>
  </si>
  <si>
    <t xml:space="preserve">Agent test score (input from reports/stage4/RESULTS.md)</t>
  </si>
  <si>
    <t xml:space="preserve">Planted problems caught</t>
  </si>
  <si>
    <t xml:space="preserve">Planted problems missed</t>
  </si>
  <si>
    <t xml:space="preserve">False alarms</t>
  </si>
  <si>
    <t xml:space="preserve">Fields checked</t>
  </si>
  <si>
    <t xml:space="preserve">Line-item check (all September invoices add up)</t>
  </si>
  <si>
    <t xml:space="preserve">Recurring-cost calendar</t>
  </si>
  <si>
    <t xml:space="preserve">Strategy decision 5. Monthly amounts are the latest approved invoice; frequency is an analyst assumption (blue).</t>
  </si>
  <si>
    <t xml:space="preserve">Cost</t>
  </si>
  <si>
    <t xml:space="preserve">Latest ref</t>
  </si>
  <si>
    <t xml:space="preserve">Latest amount</t>
  </si>
  <si>
    <t xml:space="preserve">Times per year</t>
  </si>
  <si>
    <t xml:space="preserve">Annual estimate</t>
  </si>
  <si>
    <t xml:space="preserve">Next due (assumption)</t>
  </si>
  <si>
    <t xml:space="preserve">Generator subscription</t>
  </si>
  <si>
    <t xml:space="preserve">Monthly</t>
  </si>
  <si>
    <t xml:space="preserve">Fibre internet + router</t>
  </si>
  <si>
    <t xml:space="preserve">Quarterly accounting fee</t>
  </si>
  <si>
    <t xml:space="preserve">End of December 2026</t>
  </si>
  <si>
    <t xml:space="preserve">Microsoft 365 + antivirus (5 users)</t>
  </si>
  <si>
    <t xml:space="preserve">September 2027</t>
  </si>
  <si>
    <t xml:space="preserve">Annual IQD (generator + internet + accounting)</t>
  </si>
  <si>
    <t xml:space="preserve">Note: P-0029 is the annual-licence invoice (942.50 USD). Yellow cells are assumptions you can change.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</si>
</sst>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#,##0.00;\(#,##0.00\);\-"/>
    <numFmt numFmtId="168" formatCode="#,##0"/>
    <numFmt numFmtId="169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6C6B66"/>
      <name val="Arial"/>
      <family val="0"/>
      <charset val="1"/>
    </font>
    <font>
      <b val="true"/>
      <sz val="10"/>
      <color rgb="FFC250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4C7AA8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6C6B66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B2D33"/>
        <bgColor rgb="FF333300"/>
      </patternFill>
    </fill>
    <fill>
      <patternFill patternType="solid">
        <fgColor rgb="FFFCEBD3"/>
        <bgColor rgb="FFF6D9D7"/>
      </patternFill>
    </fill>
    <fill>
      <patternFill patternType="solid">
        <fgColor rgb="FFF6D9D7"/>
        <bgColor rgb="FFFCEBD3"/>
      </patternFill>
    </fill>
    <fill>
      <patternFill patternType="solid">
        <fgColor rgb="FFDCE6F0"/>
        <bgColor rgb="FFF6D9D7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FCABF"/>
      </bottom>
      <diagonal/>
    </border>
    <border diagonalUp="false" diagonalDown="false">
      <left/>
      <right/>
      <top style="thin">
        <color rgb="FF2B2D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9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B2D33"/>
          <bgColor rgb="FF000000"/>
        </patternFill>
      </fill>
    </dxf>
    <dxf>
      <fill>
        <patternFill patternType="solid">
          <fgColor rgb="FFF6D9D7"/>
          <bgColor rgb="FF000000"/>
        </patternFill>
      </fill>
    </dxf>
    <dxf>
      <fill>
        <patternFill patternType="solid">
          <fgColor rgb="FFFCEB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ABF"/>
      <rgbColor rgb="FF4C7AA8"/>
      <rgbColor rgb="FF9999FF"/>
      <rgbColor rgb="FFC2504A"/>
      <rgbColor rgb="FFFCEBD3"/>
      <rgbColor rgb="FFDC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6C6B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D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inance_Ops_Ledger_Review_Data.xlsx" TargetMode="External"/><Relationship Id="rId2" Type="http://schemas.openxmlformats.org/officeDocument/2006/relationships/hyperlink" Target="Finance_Ops_Ledger_Review_Data.xlsx" TargetMode="External"/><Relationship Id="rId3" Type="http://schemas.openxmlformats.org/officeDocument/2006/relationships/hyperlink" Target="Finance_Ops_Ledger_Review_Data.xlsx" TargetMode="External"/><Relationship Id="rId4" Type="http://schemas.openxmlformats.org/officeDocument/2006/relationships/hyperlink" Target="Finance_Ops_Ledger_Review_Data.xlsx" TargetMode="External"/><Relationship Id="rId5" Type="http://schemas.openxmlformats.org/officeDocument/2006/relationships/hyperlink" Target="Finance_Ops_Ledger_Review_Data.xlsx" TargetMode="External"/><Relationship Id="rId6" Type="http://schemas.openxmlformats.org/officeDocument/2006/relationships/hyperlink" Target="Finance_Ops_Ledger_Review_Data.xlsx" TargetMode="External"/><Relationship Id="rId7" Type="http://schemas.openxmlformats.org/officeDocument/2006/relationships/hyperlink" Target="Finance_Ops_Ledger_Review_Data.xlsx" TargetMode="External"/><Relationship Id="rId8" Type="http://schemas.openxmlformats.org/officeDocument/2006/relationships/hyperlink" Target="Finance_Ops_Ledger_Review_Data.xlsx" TargetMode="External"/><Relationship Id="rId9" Type="http://schemas.openxmlformats.org/officeDocument/2006/relationships/hyperlink" Target="Finance_Ops_Ledger_Review_Data.xlsx" TargetMode="External"/><Relationship Id="rId10" Type="http://schemas.openxmlformats.org/officeDocument/2006/relationships/hyperlink" Target="Finance_Ops_Ledger_Review_Data.xlsx" TargetMode="External"/><Relationship Id="rId11" Type="http://schemas.openxmlformats.org/officeDocument/2006/relationships/hyperlink" Target="Finance_Ops_Ledger_Review_Data.xlsx" TargetMode="External"/><Relationship Id="rId12" Type="http://schemas.openxmlformats.org/officeDocument/2006/relationships/hyperlink" Target="Finance_Ops_Ledger_Review_Data.xlsx" TargetMode="External"/><Relationship Id="rId13" Type="http://schemas.openxmlformats.org/officeDocument/2006/relationships/hyperlink" Target="Finance_Ops_Ledger_Review_Data.xlsx" TargetMode="External"/><Relationship Id="rId14" Type="http://schemas.openxmlformats.org/officeDocument/2006/relationships/hyperlink" Target="Finance_Ops_Ledger_Review_Data.xlsx" TargetMode="External"/><Relationship Id="rId15" Type="http://schemas.openxmlformats.org/officeDocument/2006/relationships/hyperlink" Target="Finance_Ops_Ledger_Review_Data.xlsx" TargetMode="External"/><Relationship Id="rId16" Type="http://schemas.openxmlformats.org/officeDocument/2006/relationships/hyperlink" Target="Finance_Ops_Ledger_Review_Data.xlsx" TargetMode="External"/><Relationship Id="rId17" Type="http://schemas.openxmlformats.org/officeDocument/2006/relationships/hyperlink" Target="Finance_Ops_Ledger_Review_Data.xlsx" TargetMode="External"/><Relationship Id="rId18" Type="http://schemas.openxmlformats.org/officeDocument/2006/relationships/hyperlink" Target="Finance_Ops_Ledger_Review_Data.xlsx" TargetMode="External"/><Relationship Id="rId19" Type="http://schemas.openxmlformats.org/officeDocument/2006/relationships/hyperlink" Target="Finance_Ops_Ledger_Review_Data.xlsx" TargetMode="External"/><Relationship Id="rId20" Type="http://schemas.openxmlformats.org/officeDocument/2006/relationships/hyperlink" Target="Finance_Ops_Ledger_Review_Data.xlsx" TargetMode="External"/><Relationship Id="rId21" Type="http://schemas.openxmlformats.org/officeDocument/2006/relationships/hyperlink" Target="Finance_Ops_Ledger_Review_Data.xlsx" TargetMode="External"/><Relationship Id="rId22" Type="http://schemas.openxmlformats.org/officeDocument/2006/relationships/hyperlink" Target="Finance_Ops_Ledger_Review_Data.xlsx" TargetMode="External"/><Relationship Id="rId23" Type="http://schemas.openxmlformats.org/officeDocument/2006/relationships/hyperlink" Target="Finance_Ops_Ledger_Review_Data.xlsx" TargetMode="External"/><Relationship Id="rId24" Type="http://schemas.openxmlformats.org/officeDocument/2006/relationships/hyperlink" Target="Finance_Ops_Ledger_Review_Data.xlsx" TargetMode="External"/><Relationship Id="rId25" Type="http://schemas.openxmlformats.org/officeDocument/2006/relationships/hyperlink" Target="Finance_Ops_Ledger_Review_Data.xlsx" TargetMode="External"/><Relationship Id="rId26" Type="http://schemas.openxmlformats.org/officeDocument/2006/relationships/hyperlink" Target="Finance_Ops_Ledger_Review_Data.xlsx" TargetMode="External"/><Relationship Id="rId27" Type="http://schemas.openxmlformats.org/officeDocument/2006/relationships/hyperlink" Target="Finance_Ops_Ledger_Review_Data.xlsx" TargetMode="External"/><Relationship Id="rId28" Type="http://schemas.openxmlformats.org/officeDocument/2006/relationships/hyperlink" Target="Finance_Ops_Ledger_Review_Dat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4" t="s">
        <v>2</v>
      </c>
      <c r="B3" s="2"/>
      <c r="C3" s="2"/>
      <c r="D3" s="2"/>
    </row>
    <row r="4" customFormat="false" ht="15" hidden="false" customHeight="false" outlineLevel="0" collapsed="false">
      <c r="A4" s="2"/>
      <c r="B4" s="2"/>
      <c r="C4" s="2"/>
      <c r="D4" s="2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8" t="n">
        <f aca="false">Summary!C5</f>
        <v>7715000</v>
      </c>
      <c r="D6" s="9" t="s">
        <v>9</v>
      </c>
    </row>
    <row r="7" customFormat="false" ht="15" hidden="false" customHeight="false" outlineLevel="0" collapsed="false">
      <c r="A7" s="6" t="s">
        <v>7</v>
      </c>
      <c r="B7" s="7" t="s">
        <v>10</v>
      </c>
      <c r="C7" s="10" t="n">
        <f aca="false">Summary!C7</f>
        <v>0.0111402359108781</v>
      </c>
      <c r="D7" s="9" t="s">
        <v>11</v>
      </c>
    </row>
    <row r="8" customFormat="false" ht="15" hidden="false" customHeight="false" outlineLevel="0" collapsed="false">
      <c r="A8" s="6" t="s">
        <v>7</v>
      </c>
      <c r="B8" s="7" t="s">
        <v>12</v>
      </c>
      <c r="C8" s="11" t="n">
        <f aca="false">Summary!C8</f>
        <v>2150.5</v>
      </c>
      <c r="D8" s="9" t="s">
        <v>13</v>
      </c>
    </row>
    <row r="9" customFormat="false" ht="15" hidden="false" customHeight="false" outlineLevel="0" collapsed="false">
      <c r="A9" s="6" t="s">
        <v>7</v>
      </c>
      <c r="B9" s="7" t="s">
        <v>14</v>
      </c>
      <c r="C9" s="8" t="n">
        <f aca="false">Summary!C11</f>
        <v>7438000</v>
      </c>
      <c r="D9" s="9" t="s">
        <v>15</v>
      </c>
    </row>
    <row r="10" customFormat="false" ht="15" hidden="false" customHeight="false" outlineLevel="0" collapsed="false">
      <c r="A10" s="6" t="s">
        <v>7</v>
      </c>
      <c r="B10" s="7" t="s">
        <v>16</v>
      </c>
      <c r="C10" s="8" t="n">
        <f aca="false">Summary!C14</f>
        <v>1060000</v>
      </c>
      <c r="D10" s="9" t="s">
        <v>17</v>
      </c>
    </row>
    <row r="11" customFormat="false" ht="15" hidden="false" customHeight="false" outlineLevel="0" collapsed="false">
      <c r="A11" s="6" t="s">
        <v>7</v>
      </c>
      <c r="B11" s="7" t="s">
        <v>18</v>
      </c>
      <c r="C11" s="12" t="n">
        <f aca="false">Summary!C16</f>
        <v>90</v>
      </c>
      <c r="D11" s="9" t="s">
        <v>19</v>
      </c>
    </row>
    <row r="12" customFormat="false" ht="15" hidden="false" customHeight="false" outlineLevel="0" collapsed="false">
      <c r="A12" s="6" t="s">
        <v>20</v>
      </c>
      <c r="B12" s="7" t="s">
        <v>21</v>
      </c>
      <c r="C12" s="8" t="n">
        <f aca="false">'Decision Queue'!D5</f>
        <v>6750000</v>
      </c>
      <c r="D12" s="9" t="s">
        <v>22</v>
      </c>
    </row>
    <row r="13" customFormat="false" ht="15" hidden="false" customHeight="false" outlineLevel="0" collapsed="false">
      <c r="A13" s="6" t="s">
        <v>20</v>
      </c>
      <c r="B13" s="7" t="s">
        <v>23</v>
      </c>
      <c r="C13" s="8" t="n">
        <f aca="false">'Decision Queue'!D6</f>
        <v>488000</v>
      </c>
      <c r="D13" s="9" t="s">
        <v>24</v>
      </c>
    </row>
    <row r="14" customFormat="false" ht="15" hidden="false" customHeight="false" outlineLevel="0" collapsed="false">
      <c r="A14" s="6" t="s">
        <v>20</v>
      </c>
      <c r="B14" s="7" t="s">
        <v>25</v>
      </c>
      <c r="C14" s="8" t="n">
        <f aca="false">'Decision Queue'!D7</f>
        <v>200000</v>
      </c>
      <c r="D14" s="9" t="s">
        <v>26</v>
      </c>
    </row>
    <row r="15" customFormat="false" ht="15" hidden="false" customHeight="false" outlineLevel="0" collapsed="false">
      <c r="A15" s="6" t="s">
        <v>27</v>
      </c>
      <c r="B15" s="7" t="s">
        <v>28</v>
      </c>
      <c r="C15" s="8" t="n">
        <f aca="false">'Decision Queue'!D12</f>
        <v>7715000</v>
      </c>
      <c r="D15" s="9" t="s">
        <v>29</v>
      </c>
    </row>
    <row r="16" customFormat="false" ht="15" hidden="false" customHeight="false" outlineLevel="0" collapsed="false">
      <c r="A16" s="6" t="s">
        <v>30</v>
      </c>
      <c r="B16" s="7" t="s">
        <v>31</v>
      </c>
      <c r="C16" s="12" t="n">
        <f aca="false">COUNTA(Invoices!A5:A34)</f>
        <v>30</v>
      </c>
      <c r="D16" s="9" t="s">
        <v>32</v>
      </c>
    </row>
    <row r="17" customFormat="false" ht="15" hidden="false" customHeight="false" outlineLevel="0" collapsed="false">
      <c r="A17" s="6" t="s">
        <v>33</v>
      </c>
      <c r="B17" s="7" t="s">
        <v>34</v>
      </c>
      <c r="C17" s="8" t="n">
        <f aca="false">'Monthly by Category'!E13</f>
        <v>7715000</v>
      </c>
      <c r="D17" s="9" t="s">
        <v>35</v>
      </c>
    </row>
    <row r="18" customFormat="false" ht="15" hidden="false" customHeight="false" outlineLevel="0" collapsed="false">
      <c r="A18" s="6" t="s">
        <v>33</v>
      </c>
      <c r="B18" s="7" t="s">
        <v>36</v>
      </c>
      <c r="C18" s="8" t="n">
        <f aca="false">'Monthly by Category'!D13</f>
        <v>7630000</v>
      </c>
      <c r="D18" s="9" t="s">
        <v>37</v>
      </c>
    </row>
    <row r="19" customFormat="false" ht="15" hidden="false" customHeight="false" outlineLevel="0" collapsed="false">
      <c r="A19" s="6" t="s">
        <v>33</v>
      </c>
      <c r="B19" s="7" t="s">
        <v>38</v>
      </c>
      <c r="C19" s="8" t="n">
        <f aca="false">'Monthly by Category'!C13</f>
        <v>5770000</v>
      </c>
      <c r="D19" s="9" t="s">
        <v>39</v>
      </c>
    </row>
    <row r="20" customFormat="false" ht="15" hidden="false" customHeight="false" outlineLevel="0" collapsed="false">
      <c r="A20" s="6" t="s">
        <v>40</v>
      </c>
      <c r="B20" s="7" t="s">
        <v>41</v>
      </c>
      <c r="C20" s="11" t="n">
        <f aca="false">'Monthly by Category'!E19</f>
        <v>2150.5</v>
      </c>
      <c r="D20" s="9" t="s">
        <v>42</v>
      </c>
    </row>
    <row r="21" customFormat="false" ht="15" hidden="false" customHeight="false" outlineLevel="0" collapsed="false">
      <c r="A21" s="6" t="s">
        <v>43</v>
      </c>
      <c r="B21" s="7" t="s">
        <v>44</v>
      </c>
      <c r="C21" s="8" t="n">
        <f aca="false">Suppliers!D5</f>
        <v>7275000</v>
      </c>
      <c r="D21" s="9" t="s">
        <v>45</v>
      </c>
    </row>
    <row r="22" customFormat="false" ht="15" hidden="false" customHeight="false" outlineLevel="0" collapsed="false">
      <c r="A22" s="6" t="s">
        <v>43</v>
      </c>
      <c r="B22" s="7" t="s">
        <v>46</v>
      </c>
      <c r="C22" s="8" t="n">
        <f aca="false">Suppliers!D13</f>
        <v>21985000</v>
      </c>
      <c r="D22" s="9" t="s">
        <v>47</v>
      </c>
    </row>
    <row r="23" customFormat="false" ht="15" hidden="false" customHeight="false" outlineLevel="0" collapsed="false">
      <c r="A23" s="6" t="s">
        <v>48</v>
      </c>
      <c r="B23" s="7" t="s">
        <v>49</v>
      </c>
      <c r="C23" s="8" t="n">
        <f aca="false">Suppliers!M5</f>
        <v>1025000</v>
      </c>
      <c r="D23" s="9" t="s">
        <v>50</v>
      </c>
    </row>
    <row r="24" customFormat="false" ht="15" hidden="false" customHeight="false" outlineLevel="0" collapsed="false">
      <c r="A24" s="6" t="s">
        <v>51</v>
      </c>
      <c r="B24" s="7" t="s">
        <v>52</v>
      </c>
      <c r="C24" s="12" t="n">
        <f aca="false">'Control Checks'!C13</f>
        <v>5</v>
      </c>
      <c r="D24" s="9" t="s">
        <v>53</v>
      </c>
    </row>
    <row r="25" customFormat="false" ht="15" hidden="false" customHeight="false" outlineLevel="0" collapsed="false">
      <c r="A25" s="6" t="s">
        <v>54</v>
      </c>
      <c r="B25" s="7" t="s">
        <v>55</v>
      </c>
      <c r="C25" s="8" t="n">
        <f aca="false">'Recurring Costs'!G10</f>
        <v>1371000</v>
      </c>
      <c r="D25" s="9" t="s">
        <v>56</v>
      </c>
    </row>
    <row r="26" customFormat="false" ht="15" hidden="false" customHeight="false" outlineLevel="0" collapsed="false">
      <c r="A26" s="2"/>
      <c r="B26" s="2"/>
      <c r="C26" s="2"/>
      <c r="D26" s="2"/>
    </row>
    <row r="27" customFormat="false" ht="15" hidden="false" customHeight="false" outlineLevel="0" collapsed="false">
      <c r="A27" s="13" t="s">
        <v>57</v>
      </c>
      <c r="B27" s="2"/>
      <c r="C27" s="2"/>
      <c r="D27" s="2"/>
    </row>
    <row r="28" customFormat="false" ht="15" hidden="false" customHeight="false" outlineLevel="0" collapsed="false">
      <c r="A28" s="14" t="s">
        <v>58</v>
      </c>
      <c r="B28" s="2" t="s">
        <v>59</v>
      </c>
      <c r="C28" s="2"/>
      <c r="D28" s="2"/>
    </row>
    <row r="29" customFormat="false" ht="15" hidden="false" customHeight="false" outlineLevel="0" collapsed="false">
      <c r="A29" s="14" t="s">
        <v>60</v>
      </c>
      <c r="B29" s="2" t="s">
        <v>61</v>
      </c>
      <c r="C29" s="2"/>
      <c r="D29" s="2"/>
    </row>
    <row r="30" customFormat="false" ht="15" hidden="false" customHeight="false" outlineLevel="0" collapsed="false">
      <c r="A30" s="14" t="s">
        <v>62</v>
      </c>
      <c r="B30" s="2" t="s">
        <v>63</v>
      </c>
      <c r="C30" s="2"/>
      <c r="D30" s="2"/>
    </row>
    <row r="31" customFormat="false" ht="15" hidden="false" customHeight="false" outlineLevel="0" collapsed="false">
      <c r="A31" s="14" t="s">
        <v>64</v>
      </c>
      <c r="B31" s="2" t="s">
        <v>65</v>
      </c>
      <c r="C31" s="2"/>
      <c r="D31" s="2"/>
    </row>
    <row r="32" customFormat="false" ht="15" hidden="false" customHeight="false" outlineLevel="0" collapsed="false">
      <c r="A32" s="14" t="s">
        <v>66</v>
      </c>
      <c r="B32" s="2" t="s">
        <v>67</v>
      </c>
      <c r="C32" s="2"/>
      <c r="D32" s="2"/>
    </row>
    <row r="33" customFormat="false" ht="15" hidden="false" customHeight="false" outlineLevel="0" collapsed="false">
      <c r="A33" s="14" t="s">
        <v>68</v>
      </c>
      <c r="B33" s="2" t="s">
        <v>69</v>
      </c>
      <c r="C33" s="2"/>
      <c r="D33" s="2"/>
    </row>
    <row r="34" customFormat="false" ht="15" hidden="false" customHeight="false" outlineLevel="0" collapsed="false">
      <c r="A34" s="14" t="s">
        <v>70</v>
      </c>
      <c r="B34" s="2" t="s">
        <v>71</v>
      </c>
      <c r="C34" s="2"/>
      <c r="D34" s="2"/>
    </row>
    <row r="35" customFormat="false" ht="15" hidden="false" customHeight="false" outlineLevel="0" collapsed="false">
      <c r="A35" s="14" t="s">
        <v>72</v>
      </c>
      <c r="B35" s="2" t="s">
        <v>73</v>
      </c>
      <c r="C35" s="2"/>
      <c r="D35" s="2"/>
    </row>
    <row r="36" customFormat="false" ht="15" hidden="false" customHeight="false" outlineLevel="0" collapsed="false">
      <c r="A36" s="2"/>
      <c r="B36" s="2"/>
      <c r="C36" s="2"/>
      <c r="D36" s="2"/>
    </row>
    <row r="37" customFormat="false" ht="15" hidden="false" customHeight="false" outlineLevel="0" collapsed="false">
      <c r="A37" s="3" t="s">
        <v>74</v>
      </c>
      <c r="B37" s="2"/>
      <c r="C37" s="2"/>
      <c r="D37" s="2"/>
    </row>
  </sheetData>
  <hyperlinks>
    <hyperlink ref="D6" r:id="rId1" location="Summary!C5" display="Summary → C5"/>
    <hyperlink ref="D7" r:id="rId2" location="Summary!C7" display="Summary → C7"/>
    <hyperlink ref="D8" r:id="rId3" location="Summary!C8" display="Summary → C8"/>
    <hyperlink ref="D9" r:id="rId4" location="Summary!C11" display="Summary → C11"/>
    <hyperlink ref="D10" r:id="rId5" location="Summary!C14" display="Summary → C14"/>
    <hyperlink ref="D11" r:id="rId6" location="Summary!C16" display="Summary → C16"/>
    <hyperlink ref="D12" r:id="rId7" location="'Decision%20Queue'!D5" display="Decision Queue → D5"/>
    <hyperlink ref="D13" r:id="rId8" location="'Decision%20Queue'!D6" display="Decision Queue → D6"/>
    <hyperlink ref="D14" r:id="rId9" location="'Decision%20Queue'!D7" display="Decision Queue → D7"/>
    <hyperlink ref="D15" r:id="rId10" location="'Decision%20Queue'!D12" display="Decision Queue → D12"/>
    <hyperlink ref="D16" r:id="rId11" location="Invoices!A5" display="Invoices → A5"/>
    <hyperlink ref="D17" r:id="rId12" location="'Monthly%20by%20Category'!E13" display="Monthly by Category → E13"/>
    <hyperlink ref="D18" r:id="rId13" location="'Monthly%20by%20Category'!D13" display="Monthly by Category → D13"/>
    <hyperlink ref="D19" r:id="rId14" location="'Monthly%20by%20Category'!C13" display="Monthly by Category → C13"/>
    <hyperlink ref="D20" r:id="rId15" location="'Monthly%20by%20Category'!E19" display="Monthly by Category → E19"/>
    <hyperlink ref="D21" r:id="rId16" location="Suppliers!D5" display="Suppliers → D5"/>
    <hyperlink ref="D22" r:id="rId17" location="Suppliers!D13" display="Suppliers → D13"/>
    <hyperlink ref="D23" r:id="rId18" location="Suppliers!M5" display="Suppliers → M5"/>
    <hyperlink ref="D24" r:id="rId19" location="'Control%20Checks'!C13" display="Control Checks → C13"/>
    <hyperlink ref="D25" r:id="rId20" location="'Recurring%20Costs'!G10" display="Recurring Costs → G10"/>
    <hyperlink ref="A28" r:id="rId21" location="'Invoices'!A1" display="Invoices"/>
    <hyperlink ref="A29" r:id="rId22" location="'Line%20Items'!A1" display="Line Items"/>
    <hyperlink ref="A30" r:id="rId23" location="'Summary'!A1" display="Summary"/>
    <hyperlink ref="A31" r:id="rId24" location="'Monthly%20by%20Category'!A1" display="Monthly by Category"/>
    <hyperlink ref="A32" r:id="rId25" location="'Suppliers'!A1" display="Suppliers"/>
    <hyperlink ref="A33" r:id="rId26" location="'Decision%20Queue'!A1" display="Decision Queue"/>
    <hyperlink ref="A34" r:id="rId27" location="'Control%20Checks'!A1" display="Control Checks"/>
    <hyperlink ref="A35" r:id="rId28" location="'Recurring%20Costs'!A1" display="Recurring Cos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6" min="15" style="0" width="30"/>
    <col collapsed="false" customWidth="true" hidden="false" outlineLevel="0" max="17" min="17" style="0" width="34"/>
    <col collapsed="false" customWidth="true" hidden="false" outlineLevel="0" max="18" min="18" style="0" width="26"/>
    <col collapsed="false" customWidth="true" hidden="false" outlineLevel="0" max="19" min="19" style="0" width="48"/>
  </cols>
  <sheetData>
    <row r="1" customFormat="false" ht="19.7" hidden="false" customHeight="false" outlineLevel="0" collapsed="false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30" hidden="false" customHeight="true" outlineLevel="0" collapsed="false">
      <c r="A4" s="5" t="s">
        <v>77</v>
      </c>
      <c r="B4" s="5" t="s">
        <v>78</v>
      </c>
      <c r="C4" s="5" t="s">
        <v>79</v>
      </c>
      <c r="D4" s="5" t="s">
        <v>80</v>
      </c>
      <c r="E4" s="5" t="s">
        <v>81</v>
      </c>
      <c r="F4" s="5" t="s">
        <v>82</v>
      </c>
      <c r="G4" s="5" t="s">
        <v>83</v>
      </c>
      <c r="H4" s="5" t="s">
        <v>84</v>
      </c>
      <c r="I4" s="5" t="s">
        <v>85</v>
      </c>
      <c r="J4" s="5" t="s">
        <v>86</v>
      </c>
      <c r="K4" s="5" t="s">
        <v>87</v>
      </c>
      <c r="L4" s="5" t="s">
        <v>88</v>
      </c>
      <c r="M4" s="5" t="s">
        <v>89</v>
      </c>
      <c r="N4" s="5" t="s">
        <v>90</v>
      </c>
      <c r="O4" s="5" t="s">
        <v>91</v>
      </c>
      <c r="P4" s="5" t="s">
        <v>92</v>
      </c>
      <c r="Q4" s="5" t="s">
        <v>93</v>
      </c>
      <c r="R4" s="5" t="s">
        <v>94</v>
      </c>
      <c r="S4" s="5" t="s">
        <v>95</v>
      </c>
    </row>
    <row r="5" customFormat="false" ht="15" hidden="false" customHeight="false" outlineLevel="0" collapsed="false">
      <c r="A5" s="15" t="s">
        <v>96</v>
      </c>
      <c r="B5" s="15" t="s">
        <v>97</v>
      </c>
      <c r="C5" s="16" t="s">
        <v>98</v>
      </c>
      <c r="D5" s="15" t="s">
        <v>99</v>
      </c>
      <c r="E5" s="15" t="s">
        <v>100</v>
      </c>
      <c r="F5" s="15" t="s">
        <v>101</v>
      </c>
      <c r="G5" s="15" t="s">
        <v>102</v>
      </c>
      <c r="H5" s="17" t="n">
        <v>46176</v>
      </c>
      <c r="I5" s="18" t="str">
        <f aca="false">YEAR(H5)&amp;"-"&amp;TEXT(MONTH(H5),"00")</f>
        <v>2026-06</v>
      </c>
      <c r="J5" s="18" t="str">
        <f aca="false">TEXT(H5,"dddd")</f>
        <v>Wednesday</v>
      </c>
      <c r="K5" s="15" t="s">
        <v>103</v>
      </c>
      <c r="L5" s="19" t="n">
        <v>870000</v>
      </c>
      <c r="M5" s="15" t="s">
        <v>104</v>
      </c>
      <c r="N5" s="15" t="s">
        <v>105</v>
      </c>
      <c r="O5" s="15" t="s">
        <v>106</v>
      </c>
      <c r="P5" s="15" t="s">
        <v>107</v>
      </c>
      <c r="Q5" s="15"/>
      <c r="R5" s="15"/>
      <c r="S5" s="15"/>
    </row>
    <row r="6" customFormat="false" ht="15" hidden="false" customHeight="false" outlineLevel="0" collapsed="false">
      <c r="A6" s="15" t="s">
        <v>108</v>
      </c>
      <c r="B6" s="15" t="s">
        <v>109</v>
      </c>
      <c r="C6" s="16" t="s">
        <v>98</v>
      </c>
      <c r="D6" s="15" t="s">
        <v>99</v>
      </c>
      <c r="E6" s="15" t="s">
        <v>100</v>
      </c>
      <c r="F6" s="15" t="s">
        <v>110</v>
      </c>
      <c r="G6" s="15" t="s">
        <v>102</v>
      </c>
      <c r="H6" s="17" t="n">
        <v>46205</v>
      </c>
      <c r="I6" s="18" t="str">
        <f aca="false">YEAR(H6)&amp;"-"&amp;TEXT(MONTH(H6),"00")</f>
        <v>2026-07</v>
      </c>
      <c r="J6" s="18" t="str">
        <f aca="false">TEXT(H6,"dddd")</f>
        <v>Thursday</v>
      </c>
      <c r="K6" s="15" t="s">
        <v>103</v>
      </c>
      <c r="L6" s="19" t="n">
        <v>900000</v>
      </c>
      <c r="M6" s="15" t="s">
        <v>104</v>
      </c>
      <c r="N6" s="15" t="s">
        <v>105</v>
      </c>
      <c r="O6" s="15" t="s">
        <v>106</v>
      </c>
      <c r="P6" s="15" t="s">
        <v>107</v>
      </c>
      <c r="Q6" s="15"/>
      <c r="R6" s="15"/>
      <c r="S6" s="15"/>
    </row>
    <row r="7" customFormat="false" ht="15" hidden="false" customHeight="false" outlineLevel="0" collapsed="false">
      <c r="A7" s="15" t="s">
        <v>111</v>
      </c>
      <c r="B7" s="15" t="s">
        <v>112</v>
      </c>
      <c r="C7" s="16" t="s">
        <v>113</v>
      </c>
      <c r="D7" s="15" t="s">
        <v>114</v>
      </c>
      <c r="E7" s="15" t="s">
        <v>115</v>
      </c>
      <c r="F7" s="15" t="s">
        <v>116</v>
      </c>
      <c r="G7" s="15" t="s">
        <v>117</v>
      </c>
      <c r="H7" s="17" t="n">
        <v>46210</v>
      </c>
      <c r="I7" s="18" t="str">
        <f aca="false">YEAR(H7)&amp;"-"&amp;TEXT(MONTH(H7),"00")</f>
        <v>2026-07</v>
      </c>
      <c r="J7" s="18" t="str">
        <f aca="false">TEXT(H7,"dddd")</f>
        <v>Tuesday</v>
      </c>
      <c r="K7" s="15" t="s">
        <v>103</v>
      </c>
      <c r="L7" s="19" t="n">
        <v>1150000</v>
      </c>
      <c r="M7" s="15" t="s">
        <v>104</v>
      </c>
      <c r="N7" s="15" t="s">
        <v>105</v>
      </c>
      <c r="O7" s="15" t="s">
        <v>106</v>
      </c>
      <c r="P7" s="15" t="s">
        <v>107</v>
      </c>
      <c r="Q7" s="15"/>
      <c r="R7" s="15"/>
      <c r="S7" s="15"/>
    </row>
    <row r="8" customFormat="false" ht="15" hidden="false" customHeight="false" outlineLevel="0" collapsed="false">
      <c r="A8" s="15" t="s">
        <v>118</v>
      </c>
      <c r="B8" s="15" t="s">
        <v>119</v>
      </c>
      <c r="C8" s="16" t="s">
        <v>120</v>
      </c>
      <c r="D8" s="15" t="s">
        <v>121</v>
      </c>
      <c r="E8" s="15" t="s">
        <v>122</v>
      </c>
      <c r="F8" s="15" t="s">
        <v>123</v>
      </c>
      <c r="G8" s="15" t="s">
        <v>124</v>
      </c>
      <c r="H8" s="17" t="n">
        <v>46212</v>
      </c>
      <c r="I8" s="18" t="str">
        <f aca="false">YEAR(H8)&amp;"-"&amp;TEXT(MONTH(H8),"00")</f>
        <v>2026-07</v>
      </c>
      <c r="J8" s="18" t="str">
        <f aca="false">TEXT(H8,"dddd")</f>
        <v>Thursday</v>
      </c>
      <c r="K8" s="15" t="s">
        <v>125</v>
      </c>
      <c r="L8" s="20" t="n">
        <v>1180</v>
      </c>
      <c r="M8" s="15" t="s">
        <v>104</v>
      </c>
      <c r="N8" s="15" t="s">
        <v>105</v>
      </c>
      <c r="O8" s="15" t="s">
        <v>106</v>
      </c>
      <c r="P8" s="15" t="s">
        <v>107</v>
      </c>
      <c r="Q8" s="15"/>
      <c r="R8" s="15"/>
      <c r="S8" s="15"/>
    </row>
    <row r="9" customFormat="false" ht="15" hidden="false" customHeight="false" outlineLevel="0" collapsed="false">
      <c r="A9" s="15" t="s">
        <v>126</v>
      </c>
      <c r="B9" s="15" t="s">
        <v>127</v>
      </c>
      <c r="C9" s="16" t="s">
        <v>128</v>
      </c>
      <c r="D9" s="15" t="s">
        <v>129</v>
      </c>
      <c r="E9" s="15" t="s">
        <v>130</v>
      </c>
      <c r="F9" s="15" t="s">
        <v>131</v>
      </c>
      <c r="G9" s="15" t="s">
        <v>132</v>
      </c>
      <c r="H9" s="17" t="n">
        <v>46216</v>
      </c>
      <c r="I9" s="18" t="str">
        <f aca="false">YEAR(H9)&amp;"-"&amp;TEXT(MONTH(H9),"00")</f>
        <v>2026-07</v>
      </c>
      <c r="J9" s="18" t="str">
        <f aca="false">TEXT(H9,"dddd")</f>
        <v>Monday</v>
      </c>
      <c r="K9" s="15" t="s">
        <v>103</v>
      </c>
      <c r="L9" s="19" t="n">
        <v>640000</v>
      </c>
      <c r="M9" s="15" t="s">
        <v>104</v>
      </c>
      <c r="N9" s="15" t="s">
        <v>105</v>
      </c>
      <c r="O9" s="15" t="s">
        <v>106</v>
      </c>
      <c r="P9" s="15" t="s">
        <v>107</v>
      </c>
      <c r="Q9" s="15"/>
      <c r="R9" s="15"/>
      <c r="S9" s="15"/>
    </row>
    <row r="10" customFormat="false" ht="15" hidden="false" customHeight="false" outlineLevel="0" collapsed="false">
      <c r="A10" s="15" t="s">
        <v>133</v>
      </c>
      <c r="B10" s="15" t="s">
        <v>134</v>
      </c>
      <c r="C10" s="16" t="s">
        <v>135</v>
      </c>
      <c r="D10" s="15" t="s">
        <v>136</v>
      </c>
      <c r="E10" s="15" t="s">
        <v>137</v>
      </c>
      <c r="F10" s="15" t="s">
        <v>138</v>
      </c>
      <c r="G10" s="15" t="s">
        <v>139</v>
      </c>
      <c r="H10" s="17" t="n">
        <v>46218</v>
      </c>
      <c r="I10" s="18" t="str">
        <f aca="false">YEAR(H10)&amp;"-"&amp;TEXT(MONTH(H10),"00")</f>
        <v>2026-07</v>
      </c>
      <c r="J10" s="18" t="str">
        <f aca="false">TEXT(H10,"dddd")</f>
        <v>Wednesday</v>
      </c>
      <c r="K10" s="15" t="s">
        <v>103</v>
      </c>
      <c r="L10" s="19" t="n">
        <v>2100000</v>
      </c>
      <c r="M10" s="15" t="s">
        <v>104</v>
      </c>
      <c r="N10" s="15" t="s">
        <v>105</v>
      </c>
      <c r="O10" s="15" t="s">
        <v>106</v>
      </c>
      <c r="P10" s="15" t="s">
        <v>107</v>
      </c>
      <c r="Q10" s="15"/>
      <c r="R10" s="15"/>
      <c r="S10" s="15"/>
    </row>
    <row r="11" customFormat="false" ht="15" hidden="false" customHeight="false" outlineLevel="0" collapsed="false">
      <c r="A11" s="15" t="s">
        <v>140</v>
      </c>
      <c r="B11" s="15" t="s">
        <v>141</v>
      </c>
      <c r="C11" s="16" t="s">
        <v>113</v>
      </c>
      <c r="D11" s="15" t="s">
        <v>114</v>
      </c>
      <c r="E11" s="15" t="s">
        <v>115</v>
      </c>
      <c r="F11" s="15" t="s">
        <v>142</v>
      </c>
      <c r="G11" s="15" t="s">
        <v>117</v>
      </c>
      <c r="H11" s="17" t="n">
        <v>46225</v>
      </c>
      <c r="I11" s="18" t="str">
        <f aca="false">YEAR(H11)&amp;"-"&amp;TEXT(MONTH(H11),"00")</f>
        <v>2026-07</v>
      </c>
      <c r="J11" s="18" t="str">
        <f aca="false">TEXT(H11,"dddd")</f>
        <v>Wednesday</v>
      </c>
      <c r="K11" s="15" t="s">
        <v>103</v>
      </c>
      <c r="L11" s="19" t="n">
        <v>980000</v>
      </c>
      <c r="M11" s="15" t="s">
        <v>104</v>
      </c>
      <c r="N11" s="15" t="s">
        <v>105</v>
      </c>
      <c r="O11" s="15" t="s">
        <v>106</v>
      </c>
      <c r="P11" s="15" t="s">
        <v>107</v>
      </c>
      <c r="Q11" s="15"/>
      <c r="R11" s="15"/>
      <c r="S11" s="15"/>
    </row>
    <row r="12" customFormat="false" ht="15" hidden="false" customHeight="false" outlineLevel="0" collapsed="false">
      <c r="A12" s="15" t="s">
        <v>143</v>
      </c>
      <c r="B12" s="15" t="s">
        <v>144</v>
      </c>
      <c r="C12" s="16" t="s">
        <v>128</v>
      </c>
      <c r="D12" s="15" t="s">
        <v>129</v>
      </c>
      <c r="E12" s="15" t="s">
        <v>130</v>
      </c>
      <c r="F12" s="15" t="s">
        <v>145</v>
      </c>
      <c r="G12" s="15" t="s">
        <v>132</v>
      </c>
      <c r="H12" s="17" t="n">
        <v>46237</v>
      </c>
      <c r="I12" s="18" t="str">
        <f aca="false">YEAR(H12)&amp;"-"&amp;TEXT(MONTH(H12),"00")</f>
        <v>2026-08</v>
      </c>
      <c r="J12" s="18" t="str">
        <f aca="false">TEXT(H12,"dddd")</f>
        <v>Monday</v>
      </c>
      <c r="K12" s="15" t="s">
        <v>103</v>
      </c>
      <c r="L12" s="19" t="n">
        <v>585000</v>
      </c>
      <c r="M12" s="15" t="s">
        <v>104</v>
      </c>
      <c r="N12" s="15" t="s">
        <v>105</v>
      </c>
      <c r="O12" s="15" t="s">
        <v>106</v>
      </c>
      <c r="P12" s="15" t="s">
        <v>107</v>
      </c>
      <c r="Q12" s="15"/>
      <c r="R12" s="15"/>
      <c r="S12" s="15"/>
    </row>
    <row r="13" customFormat="false" ht="15" hidden="false" customHeight="false" outlineLevel="0" collapsed="false">
      <c r="A13" s="15" t="s">
        <v>146</v>
      </c>
      <c r="B13" s="15" t="s">
        <v>147</v>
      </c>
      <c r="C13" s="16" t="s">
        <v>98</v>
      </c>
      <c r="D13" s="15" t="s">
        <v>99</v>
      </c>
      <c r="E13" s="15" t="s">
        <v>100</v>
      </c>
      <c r="F13" s="15" t="s">
        <v>148</v>
      </c>
      <c r="G13" s="15" t="s">
        <v>102</v>
      </c>
      <c r="H13" s="17" t="n">
        <v>46238</v>
      </c>
      <c r="I13" s="18" t="str">
        <f aca="false">YEAR(H13)&amp;"-"&amp;TEXT(MONTH(H13),"00")</f>
        <v>2026-08</v>
      </c>
      <c r="J13" s="18" t="str">
        <f aca="false">TEXT(H13,"dddd")</f>
        <v>Tuesday</v>
      </c>
      <c r="K13" s="15" t="s">
        <v>103</v>
      </c>
      <c r="L13" s="19" t="n">
        <v>945000</v>
      </c>
      <c r="M13" s="15" t="s">
        <v>104</v>
      </c>
      <c r="N13" s="15" t="s">
        <v>105</v>
      </c>
      <c r="O13" s="15" t="s">
        <v>106</v>
      </c>
      <c r="P13" s="15" t="s">
        <v>107</v>
      </c>
      <c r="Q13" s="15"/>
      <c r="R13" s="15"/>
      <c r="S13" s="15"/>
    </row>
    <row r="14" customFormat="false" ht="15" hidden="false" customHeight="false" outlineLevel="0" collapsed="false">
      <c r="A14" s="15" t="s">
        <v>149</v>
      </c>
      <c r="B14" s="15" t="s">
        <v>150</v>
      </c>
      <c r="C14" s="16" t="s">
        <v>135</v>
      </c>
      <c r="D14" s="15" t="s">
        <v>136</v>
      </c>
      <c r="E14" s="15" t="s">
        <v>137</v>
      </c>
      <c r="F14" s="15" t="s">
        <v>151</v>
      </c>
      <c r="G14" s="15" t="s">
        <v>139</v>
      </c>
      <c r="H14" s="17" t="n">
        <v>46239</v>
      </c>
      <c r="I14" s="18" t="str">
        <f aca="false">YEAR(H14)&amp;"-"&amp;TEXT(MONTH(H14),"00")</f>
        <v>2026-08</v>
      </c>
      <c r="J14" s="18" t="str">
        <f aca="false">TEXT(H14,"dddd")</f>
        <v>Wednesday</v>
      </c>
      <c r="K14" s="15" t="s">
        <v>103</v>
      </c>
      <c r="L14" s="19" t="n">
        <v>1850000</v>
      </c>
      <c r="M14" s="15" t="s">
        <v>104</v>
      </c>
      <c r="N14" s="15" t="s">
        <v>105</v>
      </c>
      <c r="O14" s="15" t="s">
        <v>106</v>
      </c>
      <c r="P14" s="15" t="s">
        <v>107</v>
      </c>
      <c r="Q14" s="15"/>
      <c r="R14" s="15"/>
      <c r="S14" s="15"/>
    </row>
    <row r="15" customFormat="false" ht="15" hidden="false" customHeight="false" outlineLevel="0" collapsed="false">
      <c r="A15" s="15" t="s">
        <v>152</v>
      </c>
      <c r="B15" s="15" t="s">
        <v>153</v>
      </c>
      <c r="C15" s="16" t="s">
        <v>120</v>
      </c>
      <c r="D15" s="15" t="s">
        <v>121</v>
      </c>
      <c r="E15" s="15" t="s">
        <v>122</v>
      </c>
      <c r="F15" s="15" t="s">
        <v>154</v>
      </c>
      <c r="G15" s="15" t="s">
        <v>124</v>
      </c>
      <c r="H15" s="17" t="n">
        <v>46240</v>
      </c>
      <c r="I15" s="18" t="str">
        <f aca="false">YEAR(H15)&amp;"-"&amp;TEXT(MONTH(H15),"00")</f>
        <v>2026-08</v>
      </c>
      <c r="J15" s="18" t="str">
        <f aca="false">TEXT(H15,"dddd")</f>
        <v>Thursday</v>
      </c>
      <c r="K15" s="15" t="s">
        <v>125</v>
      </c>
      <c r="L15" s="20" t="n">
        <v>1320.5</v>
      </c>
      <c r="M15" s="15" t="s">
        <v>104</v>
      </c>
      <c r="N15" s="15" t="s">
        <v>105</v>
      </c>
      <c r="O15" s="15" t="s">
        <v>106</v>
      </c>
      <c r="P15" s="15" t="s">
        <v>107</v>
      </c>
      <c r="Q15" s="15"/>
      <c r="R15" s="15"/>
      <c r="S15" s="15"/>
    </row>
    <row r="16" customFormat="false" ht="15" hidden="false" customHeight="false" outlineLevel="0" collapsed="false">
      <c r="A16" s="15" t="s">
        <v>155</v>
      </c>
      <c r="B16" s="15" t="s">
        <v>156</v>
      </c>
      <c r="C16" s="16" t="s">
        <v>113</v>
      </c>
      <c r="D16" s="15" t="s">
        <v>114</v>
      </c>
      <c r="E16" s="15" t="s">
        <v>115</v>
      </c>
      <c r="F16" s="15" t="s">
        <v>157</v>
      </c>
      <c r="G16" s="15" t="s">
        <v>117</v>
      </c>
      <c r="H16" s="17" t="n">
        <v>46245</v>
      </c>
      <c r="I16" s="18" t="str">
        <f aca="false">YEAR(H16)&amp;"-"&amp;TEXT(MONTH(H16),"00")</f>
        <v>2026-08</v>
      </c>
      <c r="J16" s="18" t="str">
        <f aca="false">TEXT(H16,"dddd")</f>
        <v>Tuesday</v>
      </c>
      <c r="K16" s="15" t="s">
        <v>103</v>
      </c>
      <c r="L16" s="19" t="n">
        <v>1240000</v>
      </c>
      <c r="M16" s="15" t="s">
        <v>104</v>
      </c>
      <c r="N16" s="15" t="s">
        <v>105</v>
      </c>
      <c r="O16" s="15" t="s">
        <v>106</v>
      </c>
      <c r="P16" s="15" t="s">
        <v>107</v>
      </c>
      <c r="Q16" s="15"/>
      <c r="R16" s="15"/>
      <c r="S16" s="15"/>
    </row>
    <row r="17" customFormat="false" ht="15" hidden="false" customHeight="false" outlineLevel="0" collapsed="false">
      <c r="A17" s="15" t="s">
        <v>158</v>
      </c>
      <c r="B17" s="15" t="s">
        <v>159</v>
      </c>
      <c r="C17" s="16" t="s">
        <v>120</v>
      </c>
      <c r="D17" s="15" t="s">
        <v>121</v>
      </c>
      <c r="E17" s="15" t="s">
        <v>122</v>
      </c>
      <c r="F17" s="15" t="s">
        <v>160</v>
      </c>
      <c r="G17" s="15" t="s">
        <v>124</v>
      </c>
      <c r="H17" s="17" t="n">
        <v>46254</v>
      </c>
      <c r="I17" s="18" t="str">
        <f aca="false">YEAR(H17)&amp;"-"&amp;TEXT(MONTH(H17),"00")</f>
        <v>2026-08</v>
      </c>
      <c r="J17" s="18" t="str">
        <f aca="false">TEXT(H17,"dddd")</f>
        <v>Thursday</v>
      </c>
      <c r="K17" s="15" t="s">
        <v>125</v>
      </c>
      <c r="L17" s="20" t="n">
        <v>1095</v>
      </c>
      <c r="M17" s="15" t="s">
        <v>104</v>
      </c>
      <c r="N17" s="15" t="s">
        <v>105</v>
      </c>
      <c r="O17" s="15" t="s">
        <v>106</v>
      </c>
      <c r="P17" s="15" t="s">
        <v>107</v>
      </c>
      <c r="Q17" s="15"/>
      <c r="R17" s="15"/>
      <c r="S17" s="15"/>
    </row>
    <row r="18" customFormat="false" ht="15" hidden="false" customHeight="false" outlineLevel="0" collapsed="false">
      <c r="A18" s="15" t="s">
        <v>161</v>
      </c>
      <c r="B18" s="15" t="s">
        <v>162</v>
      </c>
      <c r="C18" s="16" t="s">
        <v>128</v>
      </c>
      <c r="D18" s="15" t="s">
        <v>129</v>
      </c>
      <c r="E18" s="15" t="s">
        <v>130</v>
      </c>
      <c r="F18" s="15" t="s">
        <v>163</v>
      </c>
      <c r="G18" s="15" t="s">
        <v>132</v>
      </c>
      <c r="H18" s="17" t="n">
        <v>46258</v>
      </c>
      <c r="I18" s="18" t="str">
        <f aca="false">YEAR(H18)&amp;"-"&amp;TEXT(MONTH(H18),"00")</f>
        <v>2026-08</v>
      </c>
      <c r="J18" s="18" t="str">
        <f aca="false">TEXT(H18,"dddd")</f>
        <v>Monday</v>
      </c>
      <c r="K18" s="15" t="s">
        <v>103</v>
      </c>
      <c r="L18" s="19" t="n">
        <v>710000</v>
      </c>
      <c r="M18" s="15" t="s">
        <v>104</v>
      </c>
      <c r="N18" s="15" t="s">
        <v>105</v>
      </c>
      <c r="O18" s="15" t="s">
        <v>106</v>
      </c>
      <c r="P18" s="15" t="s">
        <v>107</v>
      </c>
      <c r="Q18" s="15"/>
      <c r="R18" s="15"/>
      <c r="S18" s="15"/>
    </row>
    <row r="19" customFormat="false" ht="15" hidden="false" customHeight="false" outlineLevel="0" collapsed="false">
      <c r="A19" s="15" t="s">
        <v>164</v>
      </c>
      <c r="B19" s="15" t="s">
        <v>165</v>
      </c>
      <c r="C19" s="16" t="s">
        <v>135</v>
      </c>
      <c r="D19" s="15" t="s">
        <v>136</v>
      </c>
      <c r="E19" s="15" t="s">
        <v>137</v>
      </c>
      <c r="F19" s="15" t="s">
        <v>166</v>
      </c>
      <c r="G19" s="15" t="s">
        <v>139</v>
      </c>
      <c r="H19" s="17" t="n">
        <v>46260</v>
      </c>
      <c r="I19" s="18" t="str">
        <f aca="false">YEAR(H19)&amp;"-"&amp;TEXT(MONTH(H19),"00")</f>
        <v>2026-08</v>
      </c>
      <c r="J19" s="18" t="str">
        <f aca="false">TEXT(H19,"dddd")</f>
        <v>Wednesday</v>
      </c>
      <c r="K19" s="15" t="s">
        <v>103</v>
      </c>
      <c r="L19" s="19" t="n">
        <v>2300000</v>
      </c>
      <c r="M19" s="15" t="s">
        <v>104</v>
      </c>
      <c r="N19" s="15" t="s">
        <v>105</v>
      </c>
      <c r="O19" s="15" t="s">
        <v>106</v>
      </c>
      <c r="P19" s="15" t="s">
        <v>107</v>
      </c>
      <c r="Q19" s="15"/>
      <c r="R19" s="15"/>
      <c r="S19" s="15"/>
    </row>
    <row r="20" customFormat="false" ht="15" hidden="false" customHeight="false" outlineLevel="0" collapsed="false">
      <c r="A20" s="15" t="s">
        <v>167</v>
      </c>
      <c r="B20" s="15" t="s">
        <v>168</v>
      </c>
      <c r="C20" s="16" t="s">
        <v>98</v>
      </c>
      <c r="D20" s="15" t="s">
        <v>99</v>
      </c>
      <c r="E20" s="15" t="s">
        <v>100</v>
      </c>
      <c r="F20" s="15" t="s">
        <v>169</v>
      </c>
      <c r="G20" s="15" t="s">
        <v>102</v>
      </c>
      <c r="H20" s="17" t="n">
        <v>46266</v>
      </c>
      <c r="I20" s="18" t="str">
        <f aca="false">YEAR(H20)&amp;"-"&amp;TEXT(MONTH(H20),"00")</f>
        <v>2026-09</v>
      </c>
      <c r="J20" s="18" t="str">
        <f aca="false">TEXT(H20,"dddd")</f>
        <v>Tuesday</v>
      </c>
      <c r="K20" s="15" t="s">
        <v>103</v>
      </c>
      <c r="L20" s="19" t="n">
        <v>896000</v>
      </c>
      <c r="M20" s="15" t="s">
        <v>104</v>
      </c>
      <c r="N20" s="15" t="s">
        <v>170</v>
      </c>
      <c r="O20" s="15" t="s">
        <v>171</v>
      </c>
      <c r="P20" s="15" t="s">
        <v>172</v>
      </c>
      <c r="Q20" s="15" t="s">
        <v>173</v>
      </c>
      <c r="R20" s="15"/>
      <c r="S20" s="15"/>
    </row>
    <row r="21" customFormat="false" ht="15" hidden="false" customHeight="false" outlineLevel="0" collapsed="false">
      <c r="A21" s="15" t="s">
        <v>174</v>
      </c>
      <c r="B21" s="15" t="s">
        <v>175</v>
      </c>
      <c r="C21" s="16" t="s">
        <v>176</v>
      </c>
      <c r="D21" s="15" t="s">
        <v>177</v>
      </c>
      <c r="E21" s="15" t="s">
        <v>100</v>
      </c>
      <c r="F21" s="15" t="s">
        <v>178</v>
      </c>
      <c r="G21" s="15" t="s">
        <v>179</v>
      </c>
      <c r="H21" s="17" t="n">
        <v>46267</v>
      </c>
      <c r="I21" s="18" t="str">
        <f aca="false">YEAR(H21)&amp;"-"&amp;TEXT(MONTH(H21),"00")</f>
        <v>2026-09</v>
      </c>
      <c r="J21" s="18" t="str">
        <f aca="false">TEXT(H21,"dddd")</f>
        <v>Wednesday</v>
      </c>
      <c r="K21" s="15" t="s">
        <v>103</v>
      </c>
      <c r="L21" s="19" t="n">
        <v>475000</v>
      </c>
      <c r="M21" s="15" t="s">
        <v>104</v>
      </c>
      <c r="N21" s="15" t="s">
        <v>170</v>
      </c>
      <c r="O21" s="15" t="s">
        <v>180</v>
      </c>
      <c r="P21" s="15" t="s">
        <v>172</v>
      </c>
      <c r="Q21" s="15" t="s">
        <v>173</v>
      </c>
      <c r="R21" s="15"/>
      <c r="S21" s="15"/>
    </row>
    <row r="22" customFormat="false" ht="15" hidden="false" customHeight="false" outlineLevel="0" collapsed="false">
      <c r="A22" s="15" t="s">
        <v>181</v>
      </c>
      <c r="B22" s="15" t="s">
        <v>182</v>
      </c>
      <c r="C22" s="16" t="s">
        <v>113</v>
      </c>
      <c r="D22" s="15" t="s">
        <v>114</v>
      </c>
      <c r="E22" s="15" t="s">
        <v>115</v>
      </c>
      <c r="F22" s="15" t="s">
        <v>183</v>
      </c>
      <c r="G22" s="15" t="s">
        <v>117</v>
      </c>
      <c r="H22" s="17" t="n">
        <v>46271</v>
      </c>
      <c r="I22" s="18" t="str">
        <f aca="false">YEAR(H22)&amp;"-"&amp;TEXT(MONTH(H22),"00")</f>
        <v>2026-09</v>
      </c>
      <c r="J22" s="18" t="str">
        <f aca="false">TEXT(H22,"dddd")</f>
        <v>Sunday</v>
      </c>
      <c r="K22" s="15" t="s">
        <v>103</v>
      </c>
      <c r="L22" s="19" t="n">
        <v>950000</v>
      </c>
      <c r="M22" s="15" t="s">
        <v>104</v>
      </c>
      <c r="N22" s="15" t="s">
        <v>170</v>
      </c>
      <c r="O22" s="15" t="s">
        <v>184</v>
      </c>
      <c r="P22" s="15" t="s">
        <v>172</v>
      </c>
      <c r="Q22" s="15" t="s">
        <v>173</v>
      </c>
      <c r="R22" s="15"/>
      <c r="S22" s="15"/>
    </row>
    <row r="23" customFormat="false" ht="15" hidden="false" customHeight="false" outlineLevel="0" collapsed="false">
      <c r="A23" s="15" t="s">
        <v>185</v>
      </c>
      <c r="B23" s="15" t="s">
        <v>186</v>
      </c>
      <c r="C23" s="16" t="s">
        <v>128</v>
      </c>
      <c r="D23" s="15" t="s">
        <v>129</v>
      </c>
      <c r="E23" s="15" t="s">
        <v>130</v>
      </c>
      <c r="F23" s="15" t="s">
        <v>187</v>
      </c>
      <c r="G23" s="15" t="s">
        <v>132</v>
      </c>
      <c r="H23" s="17" t="n">
        <v>46272</v>
      </c>
      <c r="I23" s="18" t="str">
        <f aca="false">YEAR(H23)&amp;"-"&amp;TEXT(MONTH(H23),"00")</f>
        <v>2026-09</v>
      </c>
      <c r="J23" s="18" t="str">
        <f aca="false">TEXT(H23,"dddd")</f>
        <v>Monday</v>
      </c>
      <c r="K23" s="15" t="s">
        <v>103</v>
      </c>
      <c r="L23" s="19" t="n">
        <v>521000</v>
      </c>
      <c r="M23" s="15" t="s">
        <v>104</v>
      </c>
      <c r="N23" s="15" t="s">
        <v>170</v>
      </c>
      <c r="O23" s="15" t="s">
        <v>188</v>
      </c>
      <c r="P23" s="15" t="s">
        <v>172</v>
      </c>
      <c r="Q23" s="15" t="s">
        <v>173</v>
      </c>
      <c r="R23" s="15"/>
      <c r="S23" s="15"/>
    </row>
    <row r="24" customFormat="false" ht="15" hidden="false" customHeight="false" outlineLevel="0" collapsed="false">
      <c r="A24" s="21" t="s">
        <v>189</v>
      </c>
      <c r="B24" s="21"/>
      <c r="C24" s="22" t="s">
        <v>135</v>
      </c>
      <c r="D24" s="21" t="s">
        <v>136</v>
      </c>
      <c r="E24" s="21" t="s">
        <v>137</v>
      </c>
      <c r="F24" s="21" t="s">
        <v>190</v>
      </c>
      <c r="G24" s="21" t="s">
        <v>139</v>
      </c>
      <c r="H24" s="23" t="n">
        <v>46273</v>
      </c>
      <c r="I24" s="24" t="str">
        <f aca="false">YEAR(H24)&amp;"-"&amp;TEXT(MONTH(H24),"00")</f>
        <v>2026-09</v>
      </c>
      <c r="J24" s="24" t="str">
        <f aca="false">TEXT(H24,"dddd")</f>
        <v>Tuesday</v>
      </c>
      <c r="K24" s="21" t="s">
        <v>103</v>
      </c>
      <c r="L24" s="25" t="n">
        <v>6750000</v>
      </c>
      <c r="M24" s="21" t="s">
        <v>191</v>
      </c>
      <c r="N24" s="21" t="s">
        <v>170</v>
      </c>
      <c r="O24" s="21" t="s">
        <v>192</v>
      </c>
      <c r="P24" s="21"/>
      <c r="Q24" s="21"/>
      <c r="R24" s="21" t="s">
        <v>193</v>
      </c>
      <c r="S24" s="21" t="s">
        <v>194</v>
      </c>
    </row>
    <row r="25" customFormat="false" ht="15" hidden="false" customHeight="false" outlineLevel="0" collapsed="false">
      <c r="A25" s="15" t="s">
        <v>195</v>
      </c>
      <c r="B25" s="15" t="s">
        <v>196</v>
      </c>
      <c r="C25" s="16" t="s">
        <v>120</v>
      </c>
      <c r="D25" s="15" t="s">
        <v>121</v>
      </c>
      <c r="E25" s="15" t="s">
        <v>122</v>
      </c>
      <c r="F25" s="15" t="s">
        <v>197</v>
      </c>
      <c r="G25" s="15" t="s">
        <v>124</v>
      </c>
      <c r="H25" s="17" t="n">
        <v>46274</v>
      </c>
      <c r="I25" s="18" t="str">
        <f aca="false">YEAR(H25)&amp;"-"&amp;TEXT(MONTH(H25),"00")</f>
        <v>2026-09</v>
      </c>
      <c r="J25" s="18" t="str">
        <f aca="false">TEXT(H25,"dddd")</f>
        <v>Wednesday</v>
      </c>
      <c r="K25" s="15" t="s">
        <v>125</v>
      </c>
      <c r="L25" s="20" t="n">
        <v>1208</v>
      </c>
      <c r="M25" s="15" t="s">
        <v>104</v>
      </c>
      <c r="N25" s="15" t="s">
        <v>170</v>
      </c>
      <c r="O25" s="15" t="s">
        <v>198</v>
      </c>
      <c r="P25" s="15" t="s">
        <v>172</v>
      </c>
      <c r="Q25" s="15" t="s">
        <v>173</v>
      </c>
      <c r="R25" s="15"/>
      <c r="S25" s="15"/>
    </row>
    <row r="26" customFormat="false" ht="15" hidden="false" customHeight="false" outlineLevel="0" collapsed="false">
      <c r="A26" s="15" t="s">
        <v>199</v>
      </c>
      <c r="B26" s="15" t="s">
        <v>200</v>
      </c>
      <c r="C26" s="16" t="s">
        <v>201</v>
      </c>
      <c r="D26" s="15" t="s">
        <v>202</v>
      </c>
      <c r="E26" s="15" t="s">
        <v>203</v>
      </c>
      <c r="F26" s="15" t="s">
        <v>204</v>
      </c>
      <c r="G26" s="15" t="s">
        <v>205</v>
      </c>
      <c r="H26" s="17" t="n">
        <v>46275</v>
      </c>
      <c r="I26" s="18" t="str">
        <f aca="false">YEAR(H26)&amp;"-"&amp;TEXT(MONTH(H26),"00")</f>
        <v>2026-09</v>
      </c>
      <c r="J26" s="18" t="str">
        <f aca="false">TEXT(H26,"dddd")</f>
        <v>Thursday</v>
      </c>
      <c r="K26" s="15" t="s">
        <v>103</v>
      </c>
      <c r="L26" s="19" t="n">
        <v>800000</v>
      </c>
      <c r="M26" s="15" t="s">
        <v>104</v>
      </c>
      <c r="N26" s="15" t="s">
        <v>170</v>
      </c>
      <c r="O26" s="15" t="s">
        <v>206</v>
      </c>
      <c r="P26" s="15" t="s">
        <v>172</v>
      </c>
      <c r="Q26" s="15" t="s">
        <v>173</v>
      </c>
      <c r="R26" s="15"/>
      <c r="S26" s="15"/>
    </row>
    <row r="27" customFormat="false" ht="15" hidden="false" customHeight="false" outlineLevel="0" collapsed="false">
      <c r="A27" s="15" t="s">
        <v>207</v>
      </c>
      <c r="B27" s="15" t="s">
        <v>208</v>
      </c>
      <c r="C27" s="16" t="s">
        <v>113</v>
      </c>
      <c r="D27" s="15" t="s">
        <v>114</v>
      </c>
      <c r="E27" s="15" t="s">
        <v>115</v>
      </c>
      <c r="F27" s="15" t="s">
        <v>209</v>
      </c>
      <c r="G27" s="15" t="s">
        <v>117</v>
      </c>
      <c r="H27" s="17" t="n">
        <v>46281</v>
      </c>
      <c r="I27" s="18" t="str">
        <f aca="false">YEAR(H27)&amp;"-"&amp;TEXT(MONTH(H27),"00")</f>
        <v>2026-09</v>
      </c>
      <c r="J27" s="18" t="str">
        <f aca="false">TEXT(H27,"dddd")</f>
        <v>Wednesday</v>
      </c>
      <c r="K27" s="15" t="s">
        <v>103</v>
      </c>
      <c r="L27" s="19" t="n">
        <v>1060000</v>
      </c>
      <c r="M27" s="15" t="s">
        <v>104</v>
      </c>
      <c r="N27" s="15" t="s">
        <v>170</v>
      </c>
      <c r="O27" s="15" t="s">
        <v>210</v>
      </c>
      <c r="P27" s="15" t="s">
        <v>172</v>
      </c>
      <c r="Q27" s="15" t="s">
        <v>173</v>
      </c>
      <c r="R27" s="15"/>
      <c r="S27" s="15"/>
    </row>
    <row r="28" customFormat="false" ht="15" hidden="false" customHeight="false" outlineLevel="0" collapsed="false">
      <c r="A28" s="26" t="s">
        <v>211</v>
      </c>
      <c r="B28" s="26"/>
      <c r="C28" s="27" t="s">
        <v>113</v>
      </c>
      <c r="D28" s="26" t="s">
        <v>114</v>
      </c>
      <c r="E28" s="26" t="s">
        <v>115</v>
      </c>
      <c r="F28" s="26" t="s">
        <v>209</v>
      </c>
      <c r="G28" s="26" t="s">
        <v>117</v>
      </c>
      <c r="H28" s="28" t="n">
        <v>46281</v>
      </c>
      <c r="I28" s="29" t="str">
        <f aca="false">YEAR(H28)&amp;"-"&amp;TEXT(MONTH(H28),"00")</f>
        <v>2026-09</v>
      </c>
      <c r="J28" s="29" t="str">
        <f aca="false">TEXT(H28,"dddd")</f>
        <v>Wednesday</v>
      </c>
      <c r="K28" s="26" t="s">
        <v>103</v>
      </c>
      <c r="L28" s="30" t="n">
        <v>1060000</v>
      </c>
      <c r="M28" s="26" t="s">
        <v>212</v>
      </c>
      <c r="N28" s="26" t="s">
        <v>170</v>
      </c>
      <c r="O28" s="26" t="s">
        <v>213</v>
      </c>
      <c r="P28" s="26" t="s">
        <v>172</v>
      </c>
      <c r="Q28" s="26" t="s">
        <v>214</v>
      </c>
      <c r="R28" s="26" t="s">
        <v>215</v>
      </c>
      <c r="S28" s="26" t="s">
        <v>216</v>
      </c>
    </row>
    <row r="29" customFormat="false" ht="15" hidden="false" customHeight="false" outlineLevel="0" collapsed="false">
      <c r="A29" s="21" t="s">
        <v>217</v>
      </c>
      <c r="B29" s="21"/>
      <c r="C29" s="22" t="s">
        <v>218</v>
      </c>
      <c r="D29" s="21" t="s">
        <v>219</v>
      </c>
      <c r="E29" s="21" t="s">
        <v>220</v>
      </c>
      <c r="F29" s="21" t="s">
        <v>221</v>
      </c>
      <c r="G29" s="21" t="s">
        <v>222</v>
      </c>
      <c r="H29" s="23" t="n">
        <v>46283</v>
      </c>
      <c r="I29" s="24" t="str">
        <f aca="false">YEAR(H29)&amp;"-"&amp;TEXT(MONTH(H29),"00")</f>
        <v>2026-09</v>
      </c>
      <c r="J29" s="24" t="str">
        <f aca="false">TEXT(H29,"dddd")</f>
        <v>Friday</v>
      </c>
      <c r="K29" s="21" t="s">
        <v>103</v>
      </c>
      <c r="L29" s="25" t="n">
        <v>200000</v>
      </c>
      <c r="M29" s="21" t="s">
        <v>191</v>
      </c>
      <c r="N29" s="21" t="s">
        <v>170</v>
      </c>
      <c r="O29" s="21" t="s">
        <v>223</v>
      </c>
      <c r="P29" s="21"/>
      <c r="Q29" s="21"/>
      <c r="R29" s="21" t="s">
        <v>224</v>
      </c>
      <c r="S29" s="21" t="s">
        <v>225</v>
      </c>
    </row>
    <row r="30" customFormat="false" ht="15" hidden="false" customHeight="false" outlineLevel="0" collapsed="false">
      <c r="A30" s="15" t="s">
        <v>226</v>
      </c>
      <c r="B30" s="15" t="s">
        <v>227</v>
      </c>
      <c r="C30" s="16" t="s">
        <v>128</v>
      </c>
      <c r="D30" s="15" t="s">
        <v>129</v>
      </c>
      <c r="E30" s="15" t="s">
        <v>130</v>
      </c>
      <c r="F30" s="15" t="s">
        <v>228</v>
      </c>
      <c r="G30" s="15" t="s">
        <v>132</v>
      </c>
      <c r="H30" s="17" t="n">
        <v>46286</v>
      </c>
      <c r="I30" s="18" t="str">
        <f aca="false">YEAR(H30)&amp;"-"&amp;TEXT(MONTH(H30),"00")</f>
        <v>2026-09</v>
      </c>
      <c r="J30" s="18" t="str">
        <f aca="false">TEXT(H30,"dddd")</f>
        <v>Monday</v>
      </c>
      <c r="K30" s="15" t="s">
        <v>103</v>
      </c>
      <c r="L30" s="19" t="n">
        <v>488000</v>
      </c>
      <c r="M30" s="15" t="s">
        <v>104</v>
      </c>
      <c r="N30" s="15" t="s">
        <v>170</v>
      </c>
      <c r="O30" s="15" t="s">
        <v>229</v>
      </c>
      <c r="P30" s="15" t="s">
        <v>172</v>
      </c>
      <c r="Q30" s="15" t="s">
        <v>173</v>
      </c>
      <c r="R30" s="15"/>
      <c r="S30" s="15"/>
    </row>
    <row r="31" customFormat="false" ht="15" hidden="false" customHeight="false" outlineLevel="0" collapsed="false">
      <c r="A31" s="15" t="s">
        <v>230</v>
      </c>
      <c r="B31" s="15" t="s">
        <v>231</v>
      </c>
      <c r="C31" s="16" t="s">
        <v>135</v>
      </c>
      <c r="D31" s="15" t="s">
        <v>136</v>
      </c>
      <c r="E31" s="15" t="s">
        <v>137</v>
      </c>
      <c r="F31" s="15" t="s">
        <v>232</v>
      </c>
      <c r="G31" s="15" t="s">
        <v>139</v>
      </c>
      <c r="H31" s="17" t="n">
        <v>46287</v>
      </c>
      <c r="I31" s="18" t="str">
        <f aca="false">YEAR(H31)&amp;"-"&amp;TEXT(MONTH(H31),"00")</f>
        <v>2026-09</v>
      </c>
      <c r="J31" s="18" t="str">
        <f aca="false">TEXT(H31,"dddd")</f>
        <v>Tuesday</v>
      </c>
      <c r="K31" s="15" t="s">
        <v>103</v>
      </c>
      <c r="L31" s="19" t="n">
        <v>1025000</v>
      </c>
      <c r="M31" s="15" t="s">
        <v>104</v>
      </c>
      <c r="N31" s="15" t="s">
        <v>170</v>
      </c>
      <c r="O31" s="15" t="s">
        <v>233</v>
      </c>
      <c r="P31" s="15" t="s">
        <v>172</v>
      </c>
      <c r="Q31" s="15" t="s">
        <v>173</v>
      </c>
      <c r="R31" s="15"/>
      <c r="S31" s="15"/>
    </row>
    <row r="32" customFormat="false" ht="15" hidden="false" customHeight="false" outlineLevel="0" collapsed="false">
      <c r="A32" s="21" t="s">
        <v>234</v>
      </c>
      <c r="B32" s="21"/>
      <c r="C32" s="22" t="s">
        <v>128</v>
      </c>
      <c r="D32" s="21" t="s">
        <v>129</v>
      </c>
      <c r="E32" s="21" t="s">
        <v>130</v>
      </c>
      <c r="F32" s="21" t="s">
        <v>235</v>
      </c>
      <c r="G32" s="21" t="s">
        <v>132</v>
      </c>
      <c r="H32" s="23" t="n">
        <v>46288</v>
      </c>
      <c r="I32" s="24" t="str">
        <f aca="false">YEAR(H32)&amp;"-"&amp;TEXT(MONTH(H32),"00")</f>
        <v>2026-09</v>
      </c>
      <c r="J32" s="24" t="str">
        <f aca="false">TEXT(H32,"dddd")</f>
        <v>Wednesday</v>
      </c>
      <c r="K32" s="21" t="s">
        <v>103</v>
      </c>
      <c r="L32" s="25" t="n">
        <v>488000</v>
      </c>
      <c r="M32" s="21" t="s">
        <v>191</v>
      </c>
      <c r="N32" s="21" t="s">
        <v>170</v>
      </c>
      <c r="O32" s="21" t="s">
        <v>236</v>
      </c>
      <c r="P32" s="21"/>
      <c r="Q32" s="21"/>
      <c r="R32" s="21" t="s">
        <v>237</v>
      </c>
      <c r="S32" s="21" t="s">
        <v>238</v>
      </c>
    </row>
    <row r="33" customFormat="false" ht="15" hidden="false" customHeight="false" outlineLevel="0" collapsed="false">
      <c r="A33" s="15" t="s">
        <v>239</v>
      </c>
      <c r="B33" s="15" t="s">
        <v>240</v>
      </c>
      <c r="C33" s="16" t="s">
        <v>120</v>
      </c>
      <c r="D33" s="15" t="s">
        <v>121</v>
      </c>
      <c r="E33" s="15" t="s">
        <v>122</v>
      </c>
      <c r="F33" s="15" t="s">
        <v>241</v>
      </c>
      <c r="G33" s="15" t="s">
        <v>124</v>
      </c>
      <c r="H33" s="17" t="n">
        <v>46289</v>
      </c>
      <c r="I33" s="18" t="str">
        <f aca="false">YEAR(H33)&amp;"-"&amp;TEXT(MONTH(H33),"00")</f>
        <v>2026-09</v>
      </c>
      <c r="J33" s="18" t="str">
        <f aca="false">TEXT(H33,"dddd")</f>
        <v>Thursday</v>
      </c>
      <c r="K33" s="15" t="s">
        <v>125</v>
      </c>
      <c r="L33" s="20" t="n">
        <v>942.5</v>
      </c>
      <c r="M33" s="15" t="s">
        <v>104</v>
      </c>
      <c r="N33" s="15" t="s">
        <v>170</v>
      </c>
      <c r="O33" s="15" t="s">
        <v>242</v>
      </c>
      <c r="P33" s="15" t="s">
        <v>172</v>
      </c>
      <c r="Q33" s="15" t="s">
        <v>173</v>
      </c>
      <c r="R33" s="15"/>
      <c r="S33" s="15"/>
    </row>
    <row r="34" customFormat="false" ht="15" hidden="false" customHeight="false" outlineLevel="0" collapsed="false">
      <c r="A34" s="15" t="s">
        <v>243</v>
      </c>
      <c r="B34" s="15" t="s">
        <v>244</v>
      </c>
      <c r="C34" s="16" t="s">
        <v>245</v>
      </c>
      <c r="D34" s="15" t="s">
        <v>246</v>
      </c>
      <c r="E34" s="15" t="s">
        <v>247</v>
      </c>
      <c r="F34" s="15" t="s">
        <v>248</v>
      </c>
      <c r="G34" s="15" t="s">
        <v>249</v>
      </c>
      <c r="H34" s="17" t="n">
        <v>46294</v>
      </c>
      <c r="I34" s="18" t="str">
        <f aca="false">YEAR(H34)&amp;"-"&amp;TEXT(MONTH(H34),"00")</f>
        <v>2026-09</v>
      </c>
      <c r="J34" s="18" t="str">
        <f aca="false">TEXT(H34,"dddd")</f>
        <v>Tuesday</v>
      </c>
      <c r="K34" s="15" t="s">
        <v>103</v>
      </c>
      <c r="L34" s="19" t="n">
        <v>1500000</v>
      </c>
      <c r="M34" s="15" t="s">
        <v>104</v>
      </c>
      <c r="N34" s="15" t="s">
        <v>170</v>
      </c>
      <c r="O34" s="15" t="s">
        <v>250</v>
      </c>
      <c r="P34" s="15" t="s">
        <v>172</v>
      </c>
      <c r="Q34" s="15" t="s">
        <v>173</v>
      </c>
      <c r="R34" s="15"/>
      <c r="S34" s="15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customFormat="false" ht="15" hidden="false" customHeight="false" outlineLevel="0" collapsed="false">
      <c r="A36" s="31" t="s">
        <v>251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customFormat="false" ht="15" hidden="false" customHeight="false" outlineLevel="0" collapsed="false">
      <c r="A37" s="3" t="s">
        <v>252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customFormat="false" ht="15" hidden="false" customHeight="false" outlineLevel="0" collapsed="false">
      <c r="A38" s="3" t="s">
        <v>253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customFormat="false" ht="15" hidden="false" customHeight="false" outlineLevel="0" collapsed="false">
      <c r="A39" s="3" t="s">
        <v>254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</sheetData>
  <autoFilter ref="A4:S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3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8"/>
  </cols>
  <sheetData>
    <row r="1" customFormat="false" ht="19.7" hidden="false" customHeight="false" outlineLevel="0" collapsed="false">
      <c r="A1" s="1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256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0" hidden="false" customHeight="true" outlineLevel="0" collapsed="false">
      <c r="A4" s="5" t="s">
        <v>77</v>
      </c>
      <c r="B4" s="5" t="s">
        <v>80</v>
      </c>
      <c r="C4" s="5" t="s">
        <v>257</v>
      </c>
      <c r="D4" s="5" t="s">
        <v>258</v>
      </c>
      <c r="E4" s="5" t="s">
        <v>259</v>
      </c>
      <c r="F4" s="5" t="s">
        <v>87</v>
      </c>
      <c r="G4" s="2"/>
      <c r="H4" s="5" t="s">
        <v>77</v>
      </c>
      <c r="I4" s="5" t="s">
        <v>260</v>
      </c>
      <c r="J4" s="5" t="s">
        <v>261</v>
      </c>
      <c r="K4" s="5" t="s">
        <v>262</v>
      </c>
      <c r="L4" s="5" t="s">
        <v>263</v>
      </c>
    </row>
    <row r="5" customFormat="false" ht="15" hidden="false" customHeight="false" outlineLevel="0" collapsed="false">
      <c r="A5" s="15" t="s">
        <v>167</v>
      </c>
      <c r="B5" s="15" t="s">
        <v>99</v>
      </c>
      <c r="C5" s="16" t="s">
        <v>264</v>
      </c>
      <c r="D5" s="15" t="n">
        <v>32</v>
      </c>
      <c r="E5" s="19" t="n">
        <v>896000</v>
      </c>
      <c r="F5" s="15" t="s">
        <v>103</v>
      </c>
      <c r="G5" s="2"/>
      <c r="H5" s="15" t="s">
        <v>167</v>
      </c>
      <c r="I5" s="32" t="n">
        <f aca="false">SUMIFS($E$5:$E$46,$A$5:$A$46,H5)</f>
        <v>896000</v>
      </c>
      <c r="J5" s="33" t="n">
        <f aca="false">INDEX(Invoices!$L$5:$L$34,MATCH(H5,Invoices!$A$5:$A$34,0))</f>
        <v>896000</v>
      </c>
      <c r="K5" s="32" t="n">
        <f aca="false">I5-J5</f>
        <v>0</v>
      </c>
      <c r="L5" s="31" t="str">
        <f aca="false">IF(ABS(K5)&lt;0.005,"OK","CHECK")</f>
        <v>OK</v>
      </c>
    </row>
    <row r="6" customFormat="false" ht="15" hidden="false" customHeight="false" outlineLevel="0" collapsed="false">
      <c r="A6" s="15" t="s">
        <v>174</v>
      </c>
      <c r="B6" s="15" t="s">
        <v>177</v>
      </c>
      <c r="C6" s="16" t="s">
        <v>265</v>
      </c>
      <c r="D6" s="15" t="n">
        <v>1</v>
      </c>
      <c r="E6" s="19" t="n">
        <v>450000</v>
      </c>
      <c r="F6" s="15" t="s">
        <v>103</v>
      </c>
      <c r="G6" s="2"/>
      <c r="H6" s="15" t="s">
        <v>174</v>
      </c>
      <c r="I6" s="32" t="n">
        <f aca="false">SUMIFS($E$5:$E$46,$A$5:$A$46,H6)</f>
        <v>475000</v>
      </c>
      <c r="J6" s="33" t="n">
        <f aca="false">INDEX(Invoices!$L$5:$L$34,MATCH(H6,Invoices!$A$5:$A$34,0))</f>
        <v>475000</v>
      </c>
      <c r="K6" s="32" t="n">
        <f aca="false">I6-J6</f>
        <v>0</v>
      </c>
      <c r="L6" s="31" t="str">
        <f aca="false">IF(ABS(K6)&lt;0.005,"OK","CHECK")</f>
        <v>OK</v>
      </c>
    </row>
    <row r="7" customFormat="false" ht="15" hidden="false" customHeight="false" outlineLevel="0" collapsed="false">
      <c r="A7" s="15" t="s">
        <v>174</v>
      </c>
      <c r="B7" s="15" t="s">
        <v>177</v>
      </c>
      <c r="C7" s="16" t="s">
        <v>266</v>
      </c>
      <c r="D7" s="15" t="n">
        <v>1</v>
      </c>
      <c r="E7" s="19" t="n">
        <v>25000</v>
      </c>
      <c r="F7" s="15" t="s">
        <v>103</v>
      </c>
      <c r="G7" s="2"/>
      <c r="H7" s="15" t="s">
        <v>181</v>
      </c>
      <c r="I7" s="32" t="n">
        <f aca="false">SUMIFS($E$5:$E$46,$A$5:$A$46,H7)</f>
        <v>950000</v>
      </c>
      <c r="J7" s="33" t="n">
        <f aca="false">INDEX(Invoices!$L$5:$L$34,MATCH(H7,Invoices!$A$5:$A$34,0))</f>
        <v>950000</v>
      </c>
      <c r="K7" s="32" t="n">
        <f aca="false">I7-J7</f>
        <v>0</v>
      </c>
      <c r="L7" s="31" t="str">
        <f aca="false">IF(ABS(K7)&lt;0.005,"OK","CHECK")</f>
        <v>OK</v>
      </c>
    </row>
    <row r="8" customFormat="false" ht="15" hidden="false" customHeight="false" outlineLevel="0" collapsed="false">
      <c r="A8" s="15" t="s">
        <v>181</v>
      </c>
      <c r="B8" s="15" t="s">
        <v>114</v>
      </c>
      <c r="C8" s="16" t="s">
        <v>267</v>
      </c>
      <c r="D8" s="15" t="n">
        <v>40</v>
      </c>
      <c r="E8" s="19" t="n">
        <v>300000</v>
      </c>
      <c r="F8" s="15" t="s">
        <v>103</v>
      </c>
      <c r="G8" s="2"/>
      <c r="H8" s="15" t="s">
        <v>185</v>
      </c>
      <c r="I8" s="32" t="n">
        <f aca="false">SUMIFS($E$5:$E$46,$A$5:$A$46,H8)</f>
        <v>521000</v>
      </c>
      <c r="J8" s="33" t="n">
        <f aca="false">INDEX(Invoices!$L$5:$L$34,MATCH(H8,Invoices!$A$5:$A$34,0))</f>
        <v>521000</v>
      </c>
      <c r="K8" s="32" t="n">
        <f aca="false">I8-J8</f>
        <v>0</v>
      </c>
      <c r="L8" s="31" t="str">
        <f aca="false">IF(ABS(K8)&lt;0.005,"OK","CHECK")</f>
        <v>OK</v>
      </c>
    </row>
    <row r="9" customFormat="false" ht="15" hidden="false" customHeight="false" outlineLevel="0" collapsed="false">
      <c r="A9" s="15" t="s">
        <v>181</v>
      </c>
      <c r="B9" s="15" t="s">
        <v>114</v>
      </c>
      <c r="C9" s="16" t="s">
        <v>268</v>
      </c>
      <c r="D9" s="15" t="n">
        <v>4</v>
      </c>
      <c r="E9" s="19" t="n">
        <v>380000</v>
      </c>
      <c r="F9" s="15" t="s">
        <v>103</v>
      </c>
      <c r="G9" s="2"/>
      <c r="H9" s="15" t="s">
        <v>189</v>
      </c>
      <c r="I9" s="32" t="n">
        <f aca="false">SUMIFS($E$5:$E$46,$A$5:$A$46,H9)</f>
        <v>6750000</v>
      </c>
      <c r="J9" s="33" t="n">
        <f aca="false">INDEX(Invoices!$L$5:$L$34,MATCH(H9,Invoices!$A$5:$A$34,0))</f>
        <v>6750000</v>
      </c>
      <c r="K9" s="32" t="n">
        <f aca="false">I9-J9</f>
        <v>0</v>
      </c>
      <c r="L9" s="31" t="str">
        <f aca="false">IF(ABS(K9)&lt;0.005,"OK","CHECK")</f>
        <v>OK</v>
      </c>
    </row>
    <row r="10" customFormat="false" ht="15" hidden="false" customHeight="false" outlineLevel="0" collapsed="false">
      <c r="A10" s="15" t="s">
        <v>181</v>
      </c>
      <c r="B10" s="15" t="s">
        <v>114</v>
      </c>
      <c r="C10" s="16" t="s">
        <v>269</v>
      </c>
      <c r="D10" s="15" t="n">
        <v>100</v>
      </c>
      <c r="E10" s="19" t="n">
        <v>150000</v>
      </c>
      <c r="F10" s="15" t="s">
        <v>103</v>
      </c>
      <c r="G10" s="2"/>
      <c r="H10" s="15" t="s">
        <v>195</v>
      </c>
      <c r="I10" s="32" t="n">
        <f aca="false">SUMIFS($E$5:$E$46,$A$5:$A$46,H10)</f>
        <v>1208</v>
      </c>
      <c r="J10" s="33" t="n">
        <f aca="false">INDEX(Invoices!$L$5:$L$34,MATCH(H10,Invoices!$A$5:$A$34,0))</f>
        <v>1208</v>
      </c>
      <c r="K10" s="32" t="n">
        <f aca="false">I10-J10</f>
        <v>0</v>
      </c>
      <c r="L10" s="31" t="str">
        <f aca="false">IF(ABS(K10)&lt;0.005,"OK","CHECK")</f>
        <v>OK</v>
      </c>
    </row>
    <row r="11" customFormat="false" ht="15" hidden="false" customHeight="false" outlineLevel="0" collapsed="false">
      <c r="A11" s="15" t="s">
        <v>181</v>
      </c>
      <c r="B11" s="15" t="s">
        <v>114</v>
      </c>
      <c r="C11" s="16" t="s">
        <v>270</v>
      </c>
      <c r="D11" s="15" t="n">
        <v>10</v>
      </c>
      <c r="E11" s="19" t="n">
        <v>120000</v>
      </c>
      <c r="F11" s="15" t="s">
        <v>103</v>
      </c>
      <c r="G11" s="2"/>
      <c r="H11" s="15" t="s">
        <v>199</v>
      </c>
      <c r="I11" s="32" t="n">
        <f aca="false">SUMIFS($E$5:$E$46,$A$5:$A$46,H11)</f>
        <v>800000</v>
      </c>
      <c r="J11" s="33" t="n">
        <f aca="false">INDEX(Invoices!$L$5:$L$34,MATCH(H11,Invoices!$A$5:$A$34,0))</f>
        <v>800000</v>
      </c>
      <c r="K11" s="32" t="n">
        <f aca="false">I11-J11</f>
        <v>0</v>
      </c>
      <c r="L11" s="31" t="str">
        <f aca="false">IF(ABS(K11)&lt;0.005,"OK","CHECK")</f>
        <v>OK</v>
      </c>
    </row>
    <row r="12" customFormat="false" ht="15" hidden="false" customHeight="false" outlineLevel="0" collapsed="false">
      <c r="A12" s="15" t="s">
        <v>185</v>
      </c>
      <c r="B12" s="15" t="s">
        <v>129</v>
      </c>
      <c r="C12" s="16" t="s">
        <v>271</v>
      </c>
      <c r="D12" s="15" t="n">
        <v>24</v>
      </c>
      <c r="E12" s="19" t="n">
        <v>144000</v>
      </c>
      <c r="F12" s="15" t="s">
        <v>103</v>
      </c>
      <c r="G12" s="2"/>
      <c r="H12" s="15" t="s">
        <v>207</v>
      </c>
      <c r="I12" s="32" t="n">
        <f aca="false">SUMIFS($E$5:$E$46,$A$5:$A$46,H12)</f>
        <v>1060000</v>
      </c>
      <c r="J12" s="33" t="n">
        <f aca="false">INDEX(Invoices!$L$5:$L$34,MATCH(H12,Invoices!$A$5:$A$34,0))</f>
        <v>1060000</v>
      </c>
      <c r="K12" s="32" t="n">
        <f aca="false">I12-J12</f>
        <v>0</v>
      </c>
      <c r="L12" s="31" t="str">
        <f aca="false">IF(ABS(K12)&lt;0.005,"OK","CHECK")</f>
        <v>OK</v>
      </c>
    </row>
    <row r="13" customFormat="false" ht="15" hidden="false" customHeight="false" outlineLevel="0" collapsed="false">
      <c r="A13" s="15" t="s">
        <v>185</v>
      </c>
      <c r="B13" s="15" t="s">
        <v>129</v>
      </c>
      <c r="C13" s="16" t="s">
        <v>272</v>
      </c>
      <c r="D13" s="15" t="n">
        <v>2</v>
      </c>
      <c r="E13" s="19" t="n">
        <v>110000</v>
      </c>
      <c r="F13" s="15" t="s">
        <v>103</v>
      </c>
      <c r="G13" s="2"/>
      <c r="H13" s="15" t="s">
        <v>211</v>
      </c>
      <c r="I13" s="32" t="n">
        <f aca="false">SUMIFS($E$5:$E$46,$A$5:$A$46,H13)</f>
        <v>1060000</v>
      </c>
      <c r="J13" s="33" t="n">
        <f aca="false">INDEX(Invoices!$L$5:$L$34,MATCH(H13,Invoices!$A$5:$A$34,0))</f>
        <v>1060000</v>
      </c>
      <c r="K13" s="32" t="n">
        <f aca="false">I13-J13</f>
        <v>0</v>
      </c>
      <c r="L13" s="31" t="str">
        <f aca="false">IF(ABS(K13)&lt;0.005,"OK","CHECK")</f>
        <v>OK</v>
      </c>
    </row>
    <row r="14" customFormat="false" ht="15" hidden="false" customHeight="false" outlineLevel="0" collapsed="false">
      <c r="A14" s="15" t="s">
        <v>185</v>
      </c>
      <c r="B14" s="15" t="s">
        <v>129</v>
      </c>
      <c r="C14" s="16" t="s">
        <v>273</v>
      </c>
      <c r="D14" s="15" t="n">
        <v>30</v>
      </c>
      <c r="E14" s="19" t="n">
        <v>135000</v>
      </c>
      <c r="F14" s="15" t="s">
        <v>103</v>
      </c>
      <c r="G14" s="2"/>
      <c r="H14" s="15" t="s">
        <v>217</v>
      </c>
      <c r="I14" s="32" t="n">
        <f aca="false">SUMIFS($E$5:$E$46,$A$5:$A$46,H14)</f>
        <v>200000</v>
      </c>
      <c r="J14" s="33" t="n">
        <f aca="false">INDEX(Invoices!$L$5:$L$34,MATCH(H14,Invoices!$A$5:$A$34,0))</f>
        <v>200000</v>
      </c>
      <c r="K14" s="32" t="n">
        <f aca="false">I14-J14</f>
        <v>0</v>
      </c>
      <c r="L14" s="31" t="str">
        <f aca="false">IF(ABS(K14)&lt;0.005,"OK","CHECK")</f>
        <v>OK</v>
      </c>
    </row>
    <row r="15" customFormat="false" ht="15" hidden="false" customHeight="false" outlineLevel="0" collapsed="false">
      <c r="A15" s="15" t="s">
        <v>185</v>
      </c>
      <c r="B15" s="15" t="s">
        <v>129</v>
      </c>
      <c r="C15" s="16" t="s">
        <v>274</v>
      </c>
      <c r="D15" s="15" t="n">
        <v>6</v>
      </c>
      <c r="E15" s="19" t="n">
        <v>132000</v>
      </c>
      <c r="F15" s="15" t="s">
        <v>103</v>
      </c>
      <c r="G15" s="2"/>
      <c r="H15" s="15" t="s">
        <v>226</v>
      </c>
      <c r="I15" s="32" t="n">
        <f aca="false">SUMIFS($E$5:$E$46,$A$5:$A$46,H15)</f>
        <v>488000</v>
      </c>
      <c r="J15" s="33" t="n">
        <f aca="false">INDEX(Invoices!$L$5:$L$34,MATCH(H15,Invoices!$A$5:$A$34,0))</f>
        <v>488000</v>
      </c>
      <c r="K15" s="32" t="n">
        <f aca="false">I15-J15</f>
        <v>0</v>
      </c>
      <c r="L15" s="31" t="str">
        <f aca="false">IF(ABS(K15)&lt;0.005,"OK","CHECK")</f>
        <v>OK</v>
      </c>
    </row>
    <row r="16" customFormat="false" ht="15" hidden="false" customHeight="false" outlineLevel="0" collapsed="false">
      <c r="A16" s="15" t="s">
        <v>189</v>
      </c>
      <c r="B16" s="15" t="s">
        <v>136</v>
      </c>
      <c r="C16" s="16" t="s">
        <v>275</v>
      </c>
      <c r="D16" s="15" t="n">
        <v>2</v>
      </c>
      <c r="E16" s="19" t="n">
        <v>3700000</v>
      </c>
      <c r="F16" s="15" t="s">
        <v>103</v>
      </c>
      <c r="G16" s="2"/>
      <c r="H16" s="15" t="s">
        <v>230</v>
      </c>
      <c r="I16" s="32" t="n">
        <f aca="false">SUMIFS($E$5:$E$46,$A$5:$A$46,H16)</f>
        <v>1025000</v>
      </c>
      <c r="J16" s="33" t="n">
        <f aca="false">INDEX(Invoices!$L$5:$L$34,MATCH(H16,Invoices!$A$5:$A$34,0))</f>
        <v>1025000</v>
      </c>
      <c r="K16" s="32" t="n">
        <f aca="false">I16-J16</f>
        <v>0</v>
      </c>
      <c r="L16" s="31" t="str">
        <f aca="false">IF(ABS(K16)&lt;0.005,"OK","CHECK")</f>
        <v>OK</v>
      </c>
    </row>
    <row r="17" customFormat="false" ht="15" hidden="false" customHeight="false" outlineLevel="0" collapsed="false">
      <c r="A17" s="15" t="s">
        <v>189</v>
      </c>
      <c r="B17" s="15" t="s">
        <v>136</v>
      </c>
      <c r="C17" s="16" t="s">
        <v>276</v>
      </c>
      <c r="D17" s="15" t="n">
        <v>6</v>
      </c>
      <c r="E17" s="19" t="n">
        <v>750000</v>
      </c>
      <c r="F17" s="15" t="s">
        <v>103</v>
      </c>
      <c r="G17" s="2"/>
      <c r="H17" s="15" t="s">
        <v>234</v>
      </c>
      <c r="I17" s="32" t="n">
        <f aca="false">SUMIFS($E$5:$E$46,$A$5:$A$46,H17)</f>
        <v>488000</v>
      </c>
      <c r="J17" s="33" t="n">
        <f aca="false">INDEX(Invoices!$L$5:$L$34,MATCH(H17,Invoices!$A$5:$A$34,0))</f>
        <v>488000</v>
      </c>
      <c r="K17" s="32" t="n">
        <f aca="false">I17-J17</f>
        <v>0</v>
      </c>
      <c r="L17" s="31" t="str">
        <f aca="false">IF(ABS(K17)&lt;0.005,"OK","CHECK")</f>
        <v>OK</v>
      </c>
    </row>
    <row r="18" customFormat="false" ht="15" hidden="false" customHeight="false" outlineLevel="0" collapsed="false">
      <c r="A18" s="15" t="s">
        <v>189</v>
      </c>
      <c r="B18" s="15" t="s">
        <v>136</v>
      </c>
      <c r="C18" s="16" t="s">
        <v>277</v>
      </c>
      <c r="D18" s="15" t="n">
        <v>1</v>
      </c>
      <c r="E18" s="19" t="n">
        <v>2300000</v>
      </c>
      <c r="F18" s="15" t="s">
        <v>103</v>
      </c>
      <c r="G18" s="2"/>
      <c r="H18" s="15" t="s">
        <v>239</v>
      </c>
      <c r="I18" s="32" t="n">
        <f aca="false">SUMIFS($E$5:$E$46,$A$5:$A$46,H18)</f>
        <v>942.5</v>
      </c>
      <c r="J18" s="33" t="n">
        <f aca="false">INDEX(Invoices!$L$5:$L$34,MATCH(H18,Invoices!$A$5:$A$34,0))</f>
        <v>942.5</v>
      </c>
      <c r="K18" s="32" t="n">
        <f aca="false">I18-J18</f>
        <v>0</v>
      </c>
      <c r="L18" s="31" t="str">
        <f aca="false">IF(ABS(K18)&lt;0.005,"OK","CHECK")</f>
        <v>OK</v>
      </c>
    </row>
    <row r="19" customFormat="false" ht="15" hidden="false" customHeight="false" outlineLevel="0" collapsed="false">
      <c r="A19" s="15" t="s">
        <v>195</v>
      </c>
      <c r="B19" s="15" t="s">
        <v>121</v>
      </c>
      <c r="C19" s="16" t="s">
        <v>278</v>
      </c>
      <c r="D19" s="15" t="n">
        <v>3</v>
      </c>
      <c r="E19" s="20" t="n">
        <v>567</v>
      </c>
      <c r="F19" s="15" t="s">
        <v>125</v>
      </c>
      <c r="G19" s="2"/>
      <c r="H19" s="15" t="s">
        <v>243</v>
      </c>
      <c r="I19" s="32" t="n">
        <f aca="false">SUMIFS($E$5:$E$46,$A$5:$A$46,H19)</f>
        <v>1500000</v>
      </c>
      <c r="J19" s="33" t="n">
        <f aca="false">INDEX(Invoices!$L$5:$L$34,MATCH(H19,Invoices!$A$5:$A$34,0))</f>
        <v>1500000</v>
      </c>
      <c r="K19" s="32" t="n">
        <f aca="false">I19-J19</f>
        <v>0</v>
      </c>
      <c r="L19" s="31" t="str">
        <f aca="false">IF(ABS(K19)&lt;0.005,"OK","CHECK")</f>
        <v>OK</v>
      </c>
    </row>
    <row r="20" customFormat="false" ht="15" hidden="false" customHeight="false" outlineLevel="0" collapsed="false">
      <c r="A20" s="15" t="s">
        <v>195</v>
      </c>
      <c r="B20" s="15" t="s">
        <v>121</v>
      </c>
      <c r="C20" s="16" t="s">
        <v>279</v>
      </c>
      <c r="D20" s="15" t="n">
        <v>2</v>
      </c>
      <c r="E20" s="20" t="n">
        <v>291</v>
      </c>
      <c r="F20" s="15" t="s">
        <v>125</v>
      </c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15" t="s">
        <v>195</v>
      </c>
      <c r="B21" s="15" t="s">
        <v>121</v>
      </c>
      <c r="C21" s="16" t="s">
        <v>280</v>
      </c>
      <c r="D21" s="15" t="n">
        <v>1</v>
      </c>
      <c r="E21" s="20" t="n">
        <v>350</v>
      </c>
      <c r="F21" s="15" t="s">
        <v>125</v>
      </c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15" t="s">
        <v>199</v>
      </c>
      <c r="B22" s="15" t="s">
        <v>202</v>
      </c>
      <c r="C22" s="16" t="s">
        <v>281</v>
      </c>
      <c r="D22" s="15" t="n">
        <v>5</v>
      </c>
      <c r="E22" s="19" t="n">
        <v>125000</v>
      </c>
      <c r="F22" s="15" t="s">
        <v>103</v>
      </c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15" t="s">
        <v>199</v>
      </c>
      <c r="B23" s="15" t="s">
        <v>202</v>
      </c>
      <c r="C23" s="16" t="s">
        <v>282</v>
      </c>
      <c r="D23" s="15" t="n">
        <v>1000</v>
      </c>
      <c r="E23" s="19" t="n">
        <v>350000</v>
      </c>
      <c r="F23" s="15" t="s">
        <v>103</v>
      </c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15" t="s">
        <v>199</v>
      </c>
      <c r="B24" s="15" t="s">
        <v>202</v>
      </c>
      <c r="C24" s="16" t="s">
        <v>283</v>
      </c>
      <c r="D24" s="15" t="n">
        <v>200</v>
      </c>
      <c r="E24" s="19" t="n">
        <v>350000</v>
      </c>
      <c r="F24" s="15" t="s">
        <v>103</v>
      </c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15" t="s">
        <v>199</v>
      </c>
      <c r="B25" s="15" t="s">
        <v>202</v>
      </c>
      <c r="C25" s="16" t="s">
        <v>284</v>
      </c>
      <c r="D25" s="15"/>
      <c r="E25" s="19" t="n">
        <v>-25000</v>
      </c>
      <c r="F25" s="15" t="s">
        <v>103</v>
      </c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15" t="s">
        <v>207</v>
      </c>
      <c r="B26" s="15" t="s">
        <v>114</v>
      </c>
      <c r="C26" s="16" t="s">
        <v>285</v>
      </c>
      <c r="D26" s="15" t="n">
        <v>2</v>
      </c>
      <c r="E26" s="19" t="n">
        <v>570000</v>
      </c>
      <c r="F26" s="15" t="s">
        <v>103</v>
      </c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15" t="s">
        <v>207</v>
      </c>
      <c r="B27" s="15" t="s">
        <v>114</v>
      </c>
      <c r="C27" s="16" t="s">
        <v>286</v>
      </c>
      <c r="D27" s="15" t="n">
        <v>1</v>
      </c>
      <c r="E27" s="19" t="n">
        <v>190000</v>
      </c>
      <c r="F27" s="15" t="s">
        <v>103</v>
      </c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15" t="s">
        <v>207</v>
      </c>
      <c r="B28" s="15" t="s">
        <v>114</v>
      </c>
      <c r="C28" s="16" t="s">
        <v>267</v>
      </c>
      <c r="D28" s="15" t="n">
        <v>40</v>
      </c>
      <c r="E28" s="19" t="n">
        <v>300000</v>
      </c>
      <c r="F28" s="15" t="s">
        <v>103</v>
      </c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15" t="s">
        <v>211</v>
      </c>
      <c r="B29" s="15" t="s">
        <v>114</v>
      </c>
      <c r="C29" s="16" t="s">
        <v>285</v>
      </c>
      <c r="D29" s="15" t="n">
        <v>2</v>
      </c>
      <c r="E29" s="19" t="n">
        <v>570000</v>
      </c>
      <c r="F29" s="15" t="s">
        <v>103</v>
      </c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15" t="s">
        <v>211</v>
      </c>
      <c r="B30" s="15" t="s">
        <v>114</v>
      </c>
      <c r="C30" s="16" t="s">
        <v>286</v>
      </c>
      <c r="D30" s="15" t="n">
        <v>1</v>
      </c>
      <c r="E30" s="19" t="n">
        <v>190000</v>
      </c>
      <c r="F30" s="15" t="s">
        <v>103</v>
      </c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15" t="s">
        <v>211</v>
      </c>
      <c r="B31" s="15" t="s">
        <v>114</v>
      </c>
      <c r="C31" s="16" t="s">
        <v>267</v>
      </c>
      <c r="D31" s="15" t="n">
        <v>40</v>
      </c>
      <c r="E31" s="19" t="n">
        <v>300000</v>
      </c>
      <c r="F31" s="15" t="s">
        <v>103</v>
      </c>
      <c r="G31" s="2"/>
      <c r="H31" s="2"/>
      <c r="I31" s="2"/>
      <c r="J31" s="2"/>
      <c r="K31" s="2"/>
      <c r="L31" s="2"/>
    </row>
    <row r="32" customFormat="false" ht="15" hidden="false" customHeight="false" outlineLevel="0" collapsed="false">
      <c r="A32" s="15" t="s">
        <v>217</v>
      </c>
      <c r="B32" s="15" t="s">
        <v>219</v>
      </c>
      <c r="C32" s="16" t="s">
        <v>287</v>
      </c>
      <c r="D32" s="15" t="n">
        <v>1</v>
      </c>
      <c r="E32" s="19" t="n">
        <v>85000</v>
      </c>
      <c r="F32" s="15" t="s">
        <v>103</v>
      </c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15" t="s">
        <v>217</v>
      </c>
      <c r="B33" s="15" t="s">
        <v>219</v>
      </c>
      <c r="C33" s="16" t="s">
        <v>288</v>
      </c>
      <c r="D33" s="15" t="n">
        <v>1</v>
      </c>
      <c r="E33" s="19" t="n">
        <v>65000</v>
      </c>
      <c r="F33" s="15" t="s">
        <v>103</v>
      </c>
      <c r="G33" s="2"/>
      <c r="H33" s="2"/>
      <c r="I33" s="2"/>
      <c r="J33" s="2"/>
      <c r="K33" s="2"/>
      <c r="L33" s="2"/>
    </row>
    <row r="34" customFormat="false" ht="15" hidden="false" customHeight="false" outlineLevel="0" collapsed="false">
      <c r="A34" s="15" t="s">
        <v>217</v>
      </c>
      <c r="B34" s="15" t="s">
        <v>219</v>
      </c>
      <c r="C34" s="16" t="s">
        <v>289</v>
      </c>
      <c r="D34" s="15" t="n">
        <v>1</v>
      </c>
      <c r="E34" s="19" t="n">
        <v>50000</v>
      </c>
      <c r="F34" s="15" t="s">
        <v>103</v>
      </c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15" t="s">
        <v>226</v>
      </c>
      <c r="B35" s="15" t="s">
        <v>129</v>
      </c>
      <c r="C35" s="16" t="s">
        <v>271</v>
      </c>
      <c r="D35" s="15" t="n">
        <v>24</v>
      </c>
      <c r="E35" s="19" t="n">
        <v>144000</v>
      </c>
      <c r="F35" s="15" t="s">
        <v>103</v>
      </c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15" t="s">
        <v>226</v>
      </c>
      <c r="B36" s="15" t="s">
        <v>129</v>
      </c>
      <c r="C36" s="16" t="s">
        <v>273</v>
      </c>
      <c r="D36" s="15" t="n">
        <v>40</v>
      </c>
      <c r="E36" s="19" t="n">
        <v>180000</v>
      </c>
      <c r="F36" s="15" t="s">
        <v>103</v>
      </c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15" t="s">
        <v>226</v>
      </c>
      <c r="B37" s="15" t="s">
        <v>129</v>
      </c>
      <c r="C37" s="16" t="s">
        <v>290</v>
      </c>
      <c r="D37" s="15" t="n">
        <v>8</v>
      </c>
      <c r="E37" s="19" t="n">
        <v>164000</v>
      </c>
      <c r="F37" s="15" t="s">
        <v>103</v>
      </c>
      <c r="G37" s="2"/>
      <c r="H37" s="2"/>
      <c r="I37" s="2"/>
      <c r="J37" s="2"/>
      <c r="K37" s="2"/>
      <c r="L37" s="2"/>
    </row>
    <row r="38" customFormat="false" ht="15" hidden="false" customHeight="false" outlineLevel="0" collapsed="false">
      <c r="A38" s="15" t="s">
        <v>230</v>
      </c>
      <c r="B38" s="15" t="s">
        <v>136</v>
      </c>
      <c r="C38" s="16" t="s">
        <v>291</v>
      </c>
      <c r="D38" s="15" t="n">
        <v>1</v>
      </c>
      <c r="E38" s="19" t="n">
        <v>650000</v>
      </c>
      <c r="F38" s="15" t="s">
        <v>103</v>
      </c>
      <c r="G38" s="2"/>
      <c r="H38" s="2"/>
      <c r="I38" s="2"/>
      <c r="J38" s="2"/>
      <c r="K38" s="2"/>
      <c r="L38" s="2"/>
    </row>
    <row r="39" customFormat="false" ht="15" hidden="false" customHeight="false" outlineLevel="0" collapsed="false">
      <c r="A39" s="15" t="s">
        <v>230</v>
      </c>
      <c r="B39" s="15" t="s">
        <v>136</v>
      </c>
      <c r="C39" s="16" t="s">
        <v>292</v>
      </c>
      <c r="D39" s="15" t="n">
        <v>3</v>
      </c>
      <c r="E39" s="19" t="n">
        <v>135000</v>
      </c>
      <c r="F39" s="15" t="s">
        <v>103</v>
      </c>
      <c r="G39" s="2"/>
      <c r="H39" s="2"/>
      <c r="I39" s="2"/>
      <c r="J39" s="2"/>
      <c r="K39" s="2"/>
      <c r="L39" s="2"/>
    </row>
    <row r="40" customFormat="false" ht="15" hidden="false" customHeight="false" outlineLevel="0" collapsed="false">
      <c r="A40" s="15" t="s">
        <v>230</v>
      </c>
      <c r="B40" s="15" t="s">
        <v>136</v>
      </c>
      <c r="C40" s="16" t="s">
        <v>293</v>
      </c>
      <c r="D40" s="15" t="n">
        <v>2</v>
      </c>
      <c r="E40" s="19" t="n">
        <v>240000</v>
      </c>
      <c r="F40" s="15" t="s">
        <v>103</v>
      </c>
      <c r="G40" s="2"/>
      <c r="H40" s="2"/>
      <c r="I40" s="2"/>
      <c r="J40" s="2"/>
      <c r="K40" s="2"/>
      <c r="L40" s="2"/>
    </row>
    <row r="41" customFormat="false" ht="15" hidden="false" customHeight="false" outlineLevel="0" collapsed="false">
      <c r="A41" s="15" t="s">
        <v>234</v>
      </c>
      <c r="B41" s="15" t="s">
        <v>129</v>
      </c>
      <c r="C41" s="16" t="s">
        <v>271</v>
      </c>
      <c r="D41" s="15" t="n">
        <v>24</v>
      </c>
      <c r="E41" s="19" t="n">
        <v>144000</v>
      </c>
      <c r="F41" s="15" t="s">
        <v>103</v>
      </c>
      <c r="G41" s="2"/>
      <c r="H41" s="2"/>
      <c r="I41" s="2"/>
      <c r="J41" s="2"/>
      <c r="K41" s="2"/>
      <c r="L41" s="2"/>
    </row>
    <row r="42" customFormat="false" ht="15" hidden="false" customHeight="false" outlineLevel="0" collapsed="false">
      <c r="A42" s="15" t="s">
        <v>234</v>
      </c>
      <c r="B42" s="15" t="s">
        <v>129</v>
      </c>
      <c r="C42" s="16" t="s">
        <v>273</v>
      </c>
      <c r="D42" s="15" t="n">
        <v>40</v>
      </c>
      <c r="E42" s="19" t="n">
        <v>180000</v>
      </c>
      <c r="F42" s="15" t="s">
        <v>103</v>
      </c>
      <c r="G42" s="2"/>
      <c r="H42" s="2"/>
      <c r="I42" s="2"/>
      <c r="J42" s="2"/>
      <c r="K42" s="2"/>
      <c r="L42" s="2"/>
    </row>
    <row r="43" customFormat="false" ht="15" hidden="false" customHeight="false" outlineLevel="0" collapsed="false">
      <c r="A43" s="15" t="s">
        <v>234</v>
      </c>
      <c r="B43" s="15" t="s">
        <v>129</v>
      </c>
      <c r="C43" s="16" t="s">
        <v>290</v>
      </c>
      <c r="D43" s="15" t="n">
        <v>8</v>
      </c>
      <c r="E43" s="19" t="n">
        <v>164000</v>
      </c>
      <c r="F43" s="15" t="s">
        <v>103</v>
      </c>
      <c r="G43" s="2"/>
      <c r="H43" s="2"/>
      <c r="I43" s="2"/>
      <c r="J43" s="2"/>
      <c r="K43" s="2"/>
      <c r="L43" s="2"/>
    </row>
    <row r="44" customFormat="false" ht="15" hidden="false" customHeight="false" outlineLevel="0" collapsed="false">
      <c r="A44" s="15" t="s">
        <v>239</v>
      </c>
      <c r="B44" s="15" t="s">
        <v>121</v>
      </c>
      <c r="C44" s="16" t="s">
        <v>294</v>
      </c>
      <c r="D44" s="15" t="n">
        <v>5</v>
      </c>
      <c r="E44" s="20" t="n">
        <v>750</v>
      </c>
      <c r="F44" s="15" t="s">
        <v>125</v>
      </c>
      <c r="G44" s="2"/>
      <c r="H44" s="2"/>
      <c r="I44" s="2"/>
      <c r="J44" s="2"/>
      <c r="K44" s="2"/>
      <c r="L44" s="2"/>
    </row>
    <row r="45" customFormat="false" ht="15" hidden="false" customHeight="false" outlineLevel="0" collapsed="false">
      <c r="A45" s="15" t="s">
        <v>239</v>
      </c>
      <c r="B45" s="15" t="s">
        <v>121</v>
      </c>
      <c r="C45" s="16" t="s">
        <v>295</v>
      </c>
      <c r="D45" s="15" t="n">
        <v>5</v>
      </c>
      <c r="E45" s="20" t="n">
        <v>192.5</v>
      </c>
      <c r="F45" s="15" t="s">
        <v>125</v>
      </c>
      <c r="G45" s="2"/>
      <c r="H45" s="2"/>
      <c r="I45" s="2"/>
      <c r="J45" s="2"/>
      <c r="K45" s="2"/>
      <c r="L45" s="2"/>
    </row>
    <row r="46" customFormat="false" ht="15" hidden="false" customHeight="false" outlineLevel="0" collapsed="false">
      <c r="A46" s="15" t="s">
        <v>243</v>
      </c>
      <c r="B46" s="15" t="s">
        <v>246</v>
      </c>
      <c r="C46" s="16" t="s">
        <v>296</v>
      </c>
      <c r="D46" s="15" t="n">
        <v>1</v>
      </c>
      <c r="E46" s="19" t="n">
        <v>1500000</v>
      </c>
      <c r="F46" s="15" t="s">
        <v>103</v>
      </c>
      <c r="G46" s="2"/>
      <c r="H46" s="2"/>
      <c r="I46" s="2"/>
      <c r="J46" s="2"/>
      <c r="K46" s="2"/>
      <c r="L4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8"/>
  </cols>
  <sheetData>
    <row r="1" customFormat="false" ht="19.7" hidden="false" customHeight="false" outlineLevel="0" collapsed="false">
      <c r="A1" s="1" t="s">
        <v>297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298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5" t="s">
        <v>299</v>
      </c>
      <c r="B4" s="5" t="s">
        <v>300</v>
      </c>
      <c r="C4" s="5" t="s">
        <v>5</v>
      </c>
      <c r="D4" s="5" t="s">
        <v>301</v>
      </c>
      <c r="E4" s="5" t="s">
        <v>302</v>
      </c>
    </row>
    <row r="5" customFormat="false" ht="15" hidden="false" customHeight="false" outlineLevel="0" collapsed="false">
      <c r="A5" s="6" t="n">
        <v>1</v>
      </c>
      <c r="B5" s="7" t="s">
        <v>303</v>
      </c>
      <c r="C5" s="34" t="n">
        <f aca="false">SUMIFS(Invoices!$L$5:$L$34,Invoices!$K$5:$K$34,"IQD",Invoices!$M$5:$M$34,"approved",Invoices!$I$5:$I$34,"2026-09")</f>
        <v>7715000</v>
      </c>
      <c r="D5" s="6" t="s">
        <v>103</v>
      </c>
      <c r="E5" s="35" t="s">
        <v>304</v>
      </c>
    </row>
    <row r="6" customFormat="false" ht="15" hidden="false" customHeight="false" outlineLevel="0" collapsed="false">
      <c r="A6" s="6" t="n">
        <v>2</v>
      </c>
      <c r="B6" s="7" t="s">
        <v>305</v>
      </c>
      <c r="C6" s="34" t="n">
        <f aca="false">SUMIFS(Invoices!$L$5:$L$34,Invoices!$K$5:$K$34,"IQD",Invoices!$M$5:$M$34,"approved",Invoices!$I$5:$I$34,"2026-08")</f>
        <v>7630000</v>
      </c>
      <c r="D6" s="6" t="s">
        <v>103</v>
      </c>
      <c r="E6" s="35" t="s">
        <v>306</v>
      </c>
    </row>
    <row r="7" customFormat="false" ht="15" hidden="false" customHeight="false" outlineLevel="0" collapsed="false">
      <c r="A7" s="6" t="n">
        <v>3</v>
      </c>
      <c r="B7" s="7" t="s">
        <v>307</v>
      </c>
      <c r="C7" s="36" t="n">
        <f aca="false">IF(C6=0,0,C5/C6-1)</f>
        <v>0.0111402359108781</v>
      </c>
      <c r="D7" s="6" t="s">
        <v>308</v>
      </c>
      <c r="E7" s="35" t="s">
        <v>309</v>
      </c>
    </row>
    <row r="8" customFormat="false" ht="15" hidden="false" customHeight="false" outlineLevel="0" collapsed="false">
      <c r="A8" s="6" t="n">
        <v>4</v>
      </c>
      <c r="B8" s="7" t="s">
        <v>303</v>
      </c>
      <c r="C8" s="37" t="n">
        <f aca="false">SUMIFS(Invoices!$L$5:$L$34,Invoices!$K$5:$K$34,"USD",Invoices!$M$5:$M$34,"approved",Invoices!$I$5:$I$34,"2026-09")</f>
        <v>2150.5</v>
      </c>
      <c r="D8" s="6" t="s">
        <v>125</v>
      </c>
      <c r="E8" s="35" t="s">
        <v>310</v>
      </c>
    </row>
    <row r="9" customFormat="false" ht="15" hidden="false" customHeight="false" outlineLevel="0" collapsed="false">
      <c r="A9" s="6" t="n">
        <v>5</v>
      </c>
      <c r="B9" s="7" t="s">
        <v>305</v>
      </c>
      <c r="C9" s="37" t="n">
        <f aca="false">SUMIFS(Invoices!$L$5:$L$34,Invoices!$K$5:$K$34,"USD",Invoices!$M$5:$M$34,"approved",Invoices!$I$5:$I$34,"2026-08")</f>
        <v>2415.5</v>
      </c>
      <c r="D9" s="6" t="s">
        <v>125</v>
      </c>
      <c r="E9" s="35" t="s">
        <v>311</v>
      </c>
    </row>
    <row r="10" customFormat="false" ht="15" hidden="false" customHeight="false" outlineLevel="0" collapsed="false">
      <c r="A10" s="6" t="n">
        <v>6</v>
      </c>
      <c r="B10" s="7" t="s">
        <v>312</v>
      </c>
      <c r="C10" s="36" t="n">
        <f aca="false">IF(C9=0,0,C8/C9-1)</f>
        <v>-0.109708134961706</v>
      </c>
      <c r="D10" s="6" t="s">
        <v>308</v>
      </c>
      <c r="E10" s="35" t="s">
        <v>309</v>
      </c>
    </row>
    <row r="11" customFormat="false" ht="15" hidden="false" customHeight="false" outlineLevel="0" collapsed="false">
      <c r="A11" s="6" t="n">
        <v>7</v>
      </c>
      <c r="B11" s="7" t="s">
        <v>313</v>
      </c>
      <c r="C11" s="34" t="n">
        <f aca="false">SUMIFS(Invoices!$L$5:$L$34,Invoices!$K$5:$K$34,"IQD",Invoices!$M$5:$M$34,"pending")</f>
        <v>7438000</v>
      </c>
      <c r="D11" s="6" t="s">
        <v>103</v>
      </c>
      <c r="E11" s="35" t="s">
        <v>314</v>
      </c>
    </row>
    <row r="12" customFormat="false" ht="15" hidden="false" customHeight="false" outlineLevel="0" collapsed="false">
      <c r="A12" s="6" t="n">
        <v>8</v>
      </c>
      <c r="B12" s="7" t="s">
        <v>315</v>
      </c>
      <c r="C12" s="38" t="n">
        <f aca="false">COUNTIFS(Invoices!$M$5:$M$34,"pending")</f>
        <v>3</v>
      </c>
      <c r="D12" s="6" t="s">
        <v>316</v>
      </c>
      <c r="E12" s="35" t="s">
        <v>317</v>
      </c>
    </row>
    <row r="13" customFormat="false" ht="15" hidden="false" customHeight="false" outlineLevel="0" collapsed="false">
      <c r="A13" s="6" t="n">
        <v>9</v>
      </c>
      <c r="B13" s="7" t="s">
        <v>318</v>
      </c>
      <c r="C13" s="36" t="n">
        <f aca="false">IF(C5=0,0,C11/C5)</f>
        <v>0.964095917044718</v>
      </c>
      <c r="D13" s="6" t="s">
        <v>308</v>
      </c>
      <c r="E13" s="35" t="s">
        <v>319</v>
      </c>
    </row>
    <row r="14" customFormat="false" ht="15" hidden="false" customHeight="false" outlineLevel="0" collapsed="false">
      <c r="A14" s="6" t="n">
        <v>10</v>
      </c>
      <c r="B14" s="7" t="s">
        <v>320</v>
      </c>
      <c r="C14" s="34" t="n">
        <f aca="false">SUMIFS(Invoices!$L$5:$L$34,Invoices!$M$5:$M$34,"rejected",Invoices!$R$5:$R$34,"Exact duplicate")</f>
        <v>1060000</v>
      </c>
      <c r="D14" s="6" t="s">
        <v>103</v>
      </c>
      <c r="E14" s="35" t="s">
        <v>321</v>
      </c>
    </row>
    <row r="15" customFormat="false" ht="15" hidden="false" customHeight="false" outlineLevel="0" collapsed="false">
      <c r="A15" s="6" t="n">
        <v>11</v>
      </c>
      <c r="B15" s="7" t="s">
        <v>322</v>
      </c>
      <c r="C15" s="38" t="n">
        <f aca="false">COUNTIFS(Invoices!$M$5:$M$34,"approved",Invoices!$I$5:$I$34,"2026-09")</f>
        <v>11</v>
      </c>
      <c r="D15" s="6" t="s">
        <v>316</v>
      </c>
      <c r="E15" s="35" t="s">
        <v>323</v>
      </c>
    </row>
    <row r="16" customFormat="false" ht="15" hidden="false" customHeight="false" outlineLevel="0" collapsed="false">
      <c r="A16" s="6" t="n">
        <v>12</v>
      </c>
      <c r="B16" s="7" t="s">
        <v>324</v>
      </c>
      <c r="C16" s="39" t="n">
        <v>90</v>
      </c>
      <c r="D16" s="6" t="s">
        <v>325</v>
      </c>
      <c r="E16" s="35" t="s">
        <v>326</v>
      </c>
    </row>
    <row r="17" customFormat="false" ht="15" hidden="false" customHeight="false" outlineLevel="0" collapsed="false">
      <c r="A17" s="6" t="n">
        <v>13</v>
      </c>
      <c r="B17" s="7" t="s">
        <v>327</v>
      </c>
      <c r="C17" s="34" t="n">
        <f aca="false">SUMIFS(Invoices!$L$5:$L$34,Invoices!$K$5:$K$34,"IQD",Invoices!$M$5:$M$34,"approved")</f>
        <v>21985000</v>
      </c>
      <c r="D17" s="6" t="s">
        <v>103</v>
      </c>
      <c r="E17" s="35" t="s">
        <v>328</v>
      </c>
    </row>
    <row r="18" customFormat="false" ht="15" hidden="false" customHeight="false" outlineLevel="0" collapsed="false">
      <c r="A18" s="6" t="n">
        <v>14</v>
      </c>
      <c r="B18" s="7" t="s">
        <v>329</v>
      </c>
      <c r="C18" s="37" t="n">
        <f aca="false">SUMIFS(Invoices!$L$5:$L$34,Invoices!$K$5:$K$34,"USD",Invoices!$M$5:$M$34,"approved")</f>
        <v>5746</v>
      </c>
      <c r="D18" s="6" t="s">
        <v>125</v>
      </c>
      <c r="E18" s="35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  <col collapsed="false" customWidth="true" hidden="false" outlineLevel="0" max="6" min="6" style="0" width="15"/>
    <col collapsed="false" customWidth="true" hidden="false" outlineLevel="0" max="7" min="7" style="0" width="9"/>
  </cols>
  <sheetData>
    <row r="1" customFormat="false" ht="19.7" hidden="false" customHeight="false" outlineLevel="0" collapsed="false">
      <c r="A1" s="1" t="s">
        <v>331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332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13" t="s">
        <v>103</v>
      </c>
      <c r="B4" s="2"/>
      <c r="C4" s="2"/>
      <c r="D4" s="2"/>
      <c r="E4" s="2"/>
      <c r="F4" s="2"/>
      <c r="G4" s="2"/>
    </row>
    <row r="5" customFormat="false" ht="30" hidden="false" customHeight="true" outlineLevel="0" collapsed="false">
      <c r="A5" s="5" t="s">
        <v>81</v>
      </c>
      <c r="B5" s="5" t="s">
        <v>333</v>
      </c>
      <c r="C5" s="5" t="s">
        <v>334</v>
      </c>
      <c r="D5" s="5" t="s">
        <v>335</v>
      </c>
      <c r="E5" s="5" t="s">
        <v>336</v>
      </c>
      <c r="F5" s="5" t="s">
        <v>337</v>
      </c>
      <c r="G5" s="5" t="s">
        <v>338</v>
      </c>
    </row>
    <row r="6" customFormat="false" ht="15" hidden="false" customHeight="false" outlineLevel="0" collapsed="false">
      <c r="A6" s="31" t="s">
        <v>137</v>
      </c>
      <c r="B6" s="40" t="n">
        <f aca="false">SUMIFS(Invoices!$L$5:$L$34,Invoices!$K$5:$K$34,"IQD",Invoices!$M$5:$M$34,"approved",Invoices!$E$5:$E$34,$A6,Invoices!$I$5:$I$34,"2026-06")</f>
        <v>0</v>
      </c>
      <c r="C6" s="40" t="n">
        <f aca="false">SUMIFS(Invoices!$L$5:$L$34,Invoices!$K$5:$K$34,"IQD",Invoices!$M$5:$M$34,"approved",Invoices!$E$5:$E$34,$A6,Invoices!$I$5:$I$34,"2026-07")</f>
        <v>2100000</v>
      </c>
      <c r="D6" s="40" t="n">
        <f aca="false">SUMIFS(Invoices!$L$5:$L$34,Invoices!$K$5:$K$34,"IQD",Invoices!$M$5:$M$34,"approved",Invoices!$E$5:$E$34,$A6,Invoices!$I$5:$I$34,"2026-08")</f>
        <v>4150000</v>
      </c>
      <c r="E6" s="40" t="n">
        <f aca="false">SUMIFS(Invoices!$L$5:$L$34,Invoices!$K$5:$K$34,"IQD",Invoices!$M$5:$M$34,"approved",Invoices!$E$5:$E$34,$A6,Invoices!$I$5:$I$34,"2026-09")</f>
        <v>1025000</v>
      </c>
      <c r="F6" s="40" t="n">
        <f aca="false">SUM(B6:E6)</f>
        <v>7275000</v>
      </c>
      <c r="G6" s="41" t="n">
        <f aca="false">IF($F$13=0,0,F6/$F$13)</f>
        <v>0.330907436888788</v>
      </c>
    </row>
    <row r="7" customFormat="false" ht="15" hidden="false" customHeight="false" outlineLevel="0" collapsed="false">
      <c r="A7" s="31" t="s">
        <v>115</v>
      </c>
      <c r="B7" s="40" t="n">
        <f aca="false">SUMIFS(Invoices!$L$5:$L$34,Invoices!$K$5:$K$34,"IQD",Invoices!$M$5:$M$34,"approved",Invoices!$E$5:$E$34,$A7,Invoices!$I$5:$I$34,"2026-06")</f>
        <v>0</v>
      </c>
      <c r="C7" s="40" t="n">
        <f aca="false">SUMIFS(Invoices!$L$5:$L$34,Invoices!$K$5:$K$34,"IQD",Invoices!$M$5:$M$34,"approved",Invoices!$E$5:$E$34,$A7,Invoices!$I$5:$I$34,"2026-07")</f>
        <v>2130000</v>
      </c>
      <c r="D7" s="40" t="n">
        <f aca="false">SUMIFS(Invoices!$L$5:$L$34,Invoices!$K$5:$K$34,"IQD",Invoices!$M$5:$M$34,"approved",Invoices!$E$5:$E$34,$A7,Invoices!$I$5:$I$34,"2026-08")</f>
        <v>1240000</v>
      </c>
      <c r="E7" s="40" t="n">
        <f aca="false">SUMIFS(Invoices!$L$5:$L$34,Invoices!$K$5:$K$34,"IQD",Invoices!$M$5:$M$34,"approved",Invoices!$E$5:$E$34,$A7,Invoices!$I$5:$I$34,"2026-09")</f>
        <v>2010000</v>
      </c>
      <c r="F7" s="40" t="n">
        <f aca="false">SUM(B7:E7)</f>
        <v>5380000</v>
      </c>
      <c r="G7" s="41" t="n">
        <f aca="false">IF($F$13=0,0,F7/$F$13)</f>
        <v>0.24471230384353</v>
      </c>
    </row>
    <row r="8" customFormat="false" ht="15" hidden="false" customHeight="false" outlineLevel="0" collapsed="false">
      <c r="A8" s="31" t="s">
        <v>100</v>
      </c>
      <c r="B8" s="40" t="n">
        <f aca="false">SUMIFS(Invoices!$L$5:$L$34,Invoices!$K$5:$K$34,"IQD",Invoices!$M$5:$M$34,"approved",Invoices!$E$5:$E$34,$A8,Invoices!$I$5:$I$34,"2026-06")</f>
        <v>870000</v>
      </c>
      <c r="C8" s="40" t="n">
        <f aca="false">SUMIFS(Invoices!$L$5:$L$34,Invoices!$K$5:$K$34,"IQD",Invoices!$M$5:$M$34,"approved",Invoices!$E$5:$E$34,$A8,Invoices!$I$5:$I$34,"2026-07")</f>
        <v>900000</v>
      </c>
      <c r="D8" s="40" t="n">
        <f aca="false">SUMIFS(Invoices!$L$5:$L$34,Invoices!$K$5:$K$34,"IQD",Invoices!$M$5:$M$34,"approved",Invoices!$E$5:$E$34,$A8,Invoices!$I$5:$I$34,"2026-08")</f>
        <v>945000</v>
      </c>
      <c r="E8" s="40" t="n">
        <f aca="false">SUMIFS(Invoices!$L$5:$L$34,Invoices!$K$5:$K$34,"IQD",Invoices!$M$5:$M$34,"approved",Invoices!$E$5:$E$34,$A8,Invoices!$I$5:$I$34,"2026-09")</f>
        <v>1371000</v>
      </c>
      <c r="F8" s="40" t="n">
        <f aca="false">SUM(B8:E8)</f>
        <v>4086000</v>
      </c>
      <c r="G8" s="41" t="n">
        <f aca="false">IF($F$13=0,0,F8/$F$13)</f>
        <v>0.185853991357744</v>
      </c>
    </row>
    <row r="9" customFormat="false" ht="15" hidden="false" customHeight="false" outlineLevel="0" collapsed="false">
      <c r="A9" s="31" t="s">
        <v>130</v>
      </c>
      <c r="B9" s="40" t="n">
        <f aca="false">SUMIFS(Invoices!$L$5:$L$34,Invoices!$K$5:$K$34,"IQD",Invoices!$M$5:$M$34,"approved",Invoices!$E$5:$E$34,$A9,Invoices!$I$5:$I$34,"2026-06")</f>
        <v>0</v>
      </c>
      <c r="C9" s="40" t="n">
        <f aca="false">SUMIFS(Invoices!$L$5:$L$34,Invoices!$K$5:$K$34,"IQD",Invoices!$M$5:$M$34,"approved",Invoices!$E$5:$E$34,$A9,Invoices!$I$5:$I$34,"2026-07")</f>
        <v>640000</v>
      </c>
      <c r="D9" s="40" t="n">
        <f aca="false">SUMIFS(Invoices!$L$5:$L$34,Invoices!$K$5:$K$34,"IQD",Invoices!$M$5:$M$34,"approved",Invoices!$E$5:$E$34,$A9,Invoices!$I$5:$I$34,"2026-08")</f>
        <v>1295000</v>
      </c>
      <c r="E9" s="40" t="n">
        <f aca="false">SUMIFS(Invoices!$L$5:$L$34,Invoices!$K$5:$K$34,"IQD",Invoices!$M$5:$M$34,"approved",Invoices!$E$5:$E$34,$A9,Invoices!$I$5:$I$34,"2026-09")</f>
        <v>1009000</v>
      </c>
      <c r="F9" s="40" t="n">
        <f aca="false">SUM(B9:E9)</f>
        <v>2944000</v>
      </c>
      <c r="G9" s="41" t="n">
        <f aca="false">IF($F$13=0,0,F9/$F$13)</f>
        <v>0.133909483738913</v>
      </c>
    </row>
    <row r="10" customFormat="false" ht="15" hidden="false" customHeight="false" outlineLevel="0" collapsed="false">
      <c r="A10" s="31" t="s">
        <v>247</v>
      </c>
      <c r="B10" s="40" t="n">
        <f aca="false">SUMIFS(Invoices!$L$5:$L$34,Invoices!$K$5:$K$34,"IQD",Invoices!$M$5:$M$34,"approved",Invoices!$E$5:$E$34,$A10,Invoices!$I$5:$I$34,"2026-06")</f>
        <v>0</v>
      </c>
      <c r="C10" s="40" t="n">
        <f aca="false">SUMIFS(Invoices!$L$5:$L$34,Invoices!$K$5:$K$34,"IQD",Invoices!$M$5:$M$34,"approved",Invoices!$E$5:$E$34,$A10,Invoices!$I$5:$I$34,"2026-07")</f>
        <v>0</v>
      </c>
      <c r="D10" s="40" t="n">
        <f aca="false">SUMIFS(Invoices!$L$5:$L$34,Invoices!$K$5:$K$34,"IQD",Invoices!$M$5:$M$34,"approved",Invoices!$E$5:$E$34,$A10,Invoices!$I$5:$I$34,"2026-08")</f>
        <v>0</v>
      </c>
      <c r="E10" s="40" t="n">
        <f aca="false">SUMIFS(Invoices!$L$5:$L$34,Invoices!$K$5:$K$34,"IQD",Invoices!$M$5:$M$34,"approved",Invoices!$E$5:$E$34,$A10,Invoices!$I$5:$I$34,"2026-09")</f>
        <v>1500000</v>
      </c>
      <c r="F10" s="40" t="n">
        <f aca="false">SUM(B10:E10)</f>
        <v>1500000</v>
      </c>
      <c r="G10" s="41" t="n">
        <f aca="false">IF($F$13=0,0,F10/$F$13)</f>
        <v>0.0682283375028429</v>
      </c>
    </row>
    <row r="11" customFormat="false" ht="15" hidden="false" customHeight="false" outlineLevel="0" collapsed="false">
      <c r="A11" s="31" t="s">
        <v>203</v>
      </c>
      <c r="B11" s="40" t="n">
        <f aca="false">SUMIFS(Invoices!$L$5:$L$34,Invoices!$K$5:$K$34,"IQD",Invoices!$M$5:$M$34,"approved",Invoices!$E$5:$E$34,$A11,Invoices!$I$5:$I$34,"2026-06")</f>
        <v>0</v>
      </c>
      <c r="C11" s="40" t="n">
        <f aca="false">SUMIFS(Invoices!$L$5:$L$34,Invoices!$K$5:$K$34,"IQD",Invoices!$M$5:$M$34,"approved",Invoices!$E$5:$E$34,$A11,Invoices!$I$5:$I$34,"2026-07")</f>
        <v>0</v>
      </c>
      <c r="D11" s="40" t="n">
        <f aca="false">SUMIFS(Invoices!$L$5:$L$34,Invoices!$K$5:$K$34,"IQD",Invoices!$M$5:$M$34,"approved",Invoices!$E$5:$E$34,$A11,Invoices!$I$5:$I$34,"2026-08")</f>
        <v>0</v>
      </c>
      <c r="E11" s="40" t="n">
        <f aca="false">SUMIFS(Invoices!$L$5:$L$34,Invoices!$K$5:$K$34,"IQD",Invoices!$M$5:$M$34,"approved",Invoices!$E$5:$E$34,$A11,Invoices!$I$5:$I$34,"2026-09")</f>
        <v>800000</v>
      </c>
      <c r="F11" s="40" t="n">
        <f aca="false">SUM(B11:E11)</f>
        <v>800000</v>
      </c>
      <c r="G11" s="41" t="n">
        <f aca="false">IF($F$13=0,0,F11/$F$13)</f>
        <v>0.0363884466681829</v>
      </c>
    </row>
    <row r="12" customFormat="false" ht="15" hidden="false" customHeight="false" outlineLevel="0" collapsed="false">
      <c r="A12" s="31" t="s">
        <v>220</v>
      </c>
      <c r="B12" s="40" t="n">
        <f aca="false">SUMIFS(Invoices!$L$5:$L$34,Invoices!$K$5:$K$34,"IQD",Invoices!$M$5:$M$34,"approved",Invoices!$E$5:$E$34,$A12,Invoices!$I$5:$I$34,"2026-06")</f>
        <v>0</v>
      </c>
      <c r="C12" s="40" t="n">
        <f aca="false">SUMIFS(Invoices!$L$5:$L$34,Invoices!$K$5:$K$34,"IQD",Invoices!$M$5:$M$34,"approved",Invoices!$E$5:$E$34,$A12,Invoices!$I$5:$I$34,"2026-07")</f>
        <v>0</v>
      </c>
      <c r="D12" s="40" t="n">
        <f aca="false">SUMIFS(Invoices!$L$5:$L$34,Invoices!$K$5:$K$34,"IQD",Invoices!$M$5:$M$34,"approved",Invoices!$E$5:$E$34,$A12,Invoices!$I$5:$I$34,"2026-08")</f>
        <v>0</v>
      </c>
      <c r="E12" s="40" t="n">
        <f aca="false">SUMIFS(Invoices!$L$5:$L$34,Invoices!$K$5:$K$34,"IQD",Invoices!$M$5:$M$34,"approved",Invoices!$E$5:$E$34,$A12,Invoices!$I$5:$I$34,"2026-09")</f>
        <v>0</v>
      </c>
      <c r="F12" s="40" t="n">
        <f aca="false">SUM(B12:E12)</f>
        <v>0</v>
      </c>
      <c r="G12" s="41" t="n">
        <f aca="false">IF($F$13=0,0,F12/$F$13)</f>
        <v>0</v>
      </c>
    </row>
    <row r="13" customFormat="false" ht="15" hidden="false" customHeight="false" outlineLevel="0" collapsed="false">
      <c r="A13" s="42" t="s">
        <v>339</v>
      </c>
      <c r="B13" s="43" t="n">
        <f aca="false">SUM(B6:B12)</f>
        <v>870000</v>
      </c>
      <c r="C13" s="43" t="n">
        <f aca="false">SUM(C6:C12)</f>
        <v>5770000</v>
      </c>
      <c r="D13" s="43" t="n">
        <f aca="false">SUM(D6:D12)</f>
        <v>7630000</v>
      </c>
      <c r="E13" s="43" t="n">
        <f aca="false">SUM(E6:E12)</f>
        <v>7715000</v>
      </c>
      <c r="F13" s="43" t="n">
        <f aca="false">SUM(F6:F12)</f>
        <v>21985000</v>
      </c>
      <c r="G13" s="44" t="n">
        <f aca="false">SUM(G6:G12)</f>
        <v>1</v>
      </c>
    </row>
    <row r="14" customFormat="false" ht="15" hidden="false" customHeight="false" outlineLevel="0" collapsed="false">
      <c r="A14" s="45" t="s">
        <v>340</v>
      </c>
      <c r="B14" s="2"/>
      <c r="C14" s="2"/>
      <c r="D14" s="41" t="n">
        <f aca="false">IF(C13=0,0,D13/C13-1)</f>
        <v>0.322357019064125</v>
      </c>
      <c r="E14" s="41" t="n">
        <f aca="false">IF(D13=0,0,E13/D13-1)</f>
        <v>0.0111402359108781</v>
      </c>
      <c r="F14" s="2"/>
      <c r="G14" s="2"/>
    </row>
    <row r="15" customFormat="false" ht="15" hidden="false" customHeight="false" outlineLevel="0" collapsed="false">
      <c r="A15" s="3" t="s">
        <v>341</v>
      </c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13" t="s">
        <v>125</v>
      </c>
      <c r="B17" s="2"/>
      <c r="C17" s="2"/>
      <c r="D17" s="2"/>
      <c r="E17" s="2"/>
      <c r="F17" s="2"/>
      <c r="G17" s="2"/>
    </row>
    <row r="18" customFormat="false" ht="30" hidden="false" customHeight="true" outlineLevel="0" collapsed="false">
      <c r="A18" s="5" t="s">
        <v>81</v>
      </c>
      <c r="B18" s="5" t="s">
        <v>333</v>
      </c>
      <c r="C18" s="5" t="s">
        <v>334</v>
      </c>
      <c r="D18" s="5" t="s">
        <v>335</v>
      </c>
      <c r="E18" s="5" t="s">
        <v>336</v>
      </c>
      <c r="F18" s="5" t="s">
        <v>337</v>
      </c>
      <c r="G18" s="5"/>
    </row>
    <row r="19" customFormat="false" ht="15" hidden="false" customHeight="false" outlineLevel="0" collapsed="false">
      <c r="A19" s="31" t="s">
        <v>122</v>
      </c>
      <c r="B19" s="46" t="n">
        <f aca="false">SUMIFS(Invoices!$L$5:$L$34,Invoices!$K$5:$K$34,"USD",Invoices!$M$5:$M$34,"approved",Invoices!$I$5:$I$34,"2026-06")</f>
        <v>0</v>
      </c>
      <c r="C19" s="46" t="n">
        <f aca="false">SUMIFS(Invoices!$L$5:$L$34,Invoices!$K$5:$K$34,"USD",Invoices!$M$5:$M$34,"approved",Invoices!$I$5:$I$34,"2026-07")</f>
        <v>1180</v>
      </c>
      <c r="D19" s="46" t="n">
        <f aca="false">SUMIFS(Invoices!$L$5:$L$34,Invoices!$K$5:$K$34,"USD",Invoices!$M$5:$M$34,"approved",Invoices!$I$5:$I$34,"2026-08")</f>
        <v>2415.5</v>
      </c>
      <c r="E19" s="46" t="n">
        <f aca="false">SUMIFS(Invoices!$L$5:$L$34,Invoices!$K$5:$K$34,"USD",Invoices!$M$5:$M$34,"approved",Invoices!$I$5:$I$34,"2026-09")</f>
        <v>2150.5</v>
      </c>
      <c r="F19" s="46" t="n">
        <f aca="false">SUM(B19:E19)</f>
        <v>5746</v>
      </c>
      <c r="G19" s="2"/>
    </row>
    <row r="20" customFormat="false" ht="15" hidden="false" customHeight="false" outlineLevel="0" collapsed="false">
      <c r="A20" s="45" t="s">
        <v>340</v>
      </c>
      <c r="B20" s="2"/>
      <c r="C20" s="2"/>
      <c r="D20" s="41" t="n">
        <f aca="false">IF(C19=0,0,D19/C19-1)</f>
        <v>1.04703389830508</v>
      </c>
      <c r="E20" s="41" t="n">
        <f aca="false">IF(D19=0,0,E19/D19-1)</f>
        <v>-0.109708134961706</v>
      </c>
      <c r="F20" s="2"/>
      <c r="G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3" min="10" style="0" width="12"/>
  </cols>
  <sheetData>
    <row r="1" customFormat="false" ht="19.7" hidden="false" customHeight="false" outlineLevel="0" collapsed="false">
      <c r="A1" s="1" t="s">
        <v>342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343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30" hidden="false" customHeight="true" outlineLevel="0" collapsed="false">
      <c r="A4" s="5" t="s">
        <v>80</v>
      </c>
      <c r="B4" s="5" t="s">
        <v>81</v>
      </c>
      <c r="C4" s="5" t="s">
        <v>87</v>
      </c>
      <c r="D4" s="5" t="s">
        <v>344</v>
      </c>
      <c r="E4" s="5" t="s">
        <v>345</v>
      </c>
      <c r="F4" s="5" t="s">
        <v>346</v>
      </c>
      <c r="G4" s="5" t="s">
        <v>347</v>
      </c>
      <c r="H4" s="5" t="s">
        <v>348</v>
      </c>
      <c r="I4" s="5" t="s">
        <v>349</v>
      </c>
      <c r="J4" s="5" t="s">
        <v>333</v>
      </c>
      <c r="K4" s="5" t="s">
        <v>334</v>
      </c>
      <c r="L4" s="5" t="s">
        <v>335</v>
      </c>
      <c r="M4" s="5" t="s">
        <v>336</v>
      </c>
    </row>
    <row r="5" customFormat="false" ht="15" hidden="false" customHeight="false" outlineLevel="0" collapsed="false">
      <c r="A5" s="31" t="s">
        <v>136</v>
      </c>
      <c r="B5" s="2" t="s">
        <v>137</v>
      </c>
      <c r="C5" s="2" t="s">
        <v>103</v>
      </c>
      <c r="D5" s="40" t="n">
        <f aca="false">SUMIFS(Invoices!$L$5:$L$34,Invoices!$D$5:$D$34,$A5,Invoices!$M$5:$M$34,"approved")</f>
        <v>7275000</v>
      </c>
      <c r="E5" s="2" t="n">
        <f aca="false">COUNTIFS(Invoices!$D$5:$D$34,$A5,Invoices!$M$5:$M$34,"approved")</f>
        <v>4</v>
      </c>
      <c r="F5" s="40" t="n">
        <f aca="false">IF(E5=0,0,D5/E5)</f>
        <v>1818750</v>
      </c>
      <c r="G5" s="40" t="n">
        <f aca="false">SUMIFS(Invoices!$L$5:$L$34,Invoices!$D$5:$D$34,$A5,Invoices!$M$5:$M$34,"pending")</f>
        <v>6750000</v>
      </c>
      <c r="H5" s="40" t="n">
        <f aca="false">D5+G5</f>
        <v>14025000</v>
      </c>
      <c r="I5" s="41" t="n">
        <f aca="false">IF(SUMIFS(Invoices!$L$5:$L$34,Invoices!$K$5:$K$34,"IQD",Invoices!$M$5:$M$34,"approved")=0,0,D5/SUMIFS(Invoices!$L$5:$L$34,Invoices!$K$5:$K$34,"IQD",Invoices!$M$5:$M$34,"approved"))</f>
        <v>0.330907436888788</v>
      </c>
      <c r="J5" s="40" t="n">
        <f aca="false">SUMIFS(Invoices!$L$5:$L$34,Invoices!$D$5:$D$34,$A5,Invoices!$M$5:$M$34,"approved",Invoices!$I$5:$I$34,"2026-06")</f>
        <v>0</v>
      </c>
      <c r="K5" s="40" t="n">
        <f aca="false">SUMIFS(Invoices!$L$5:$L$34,Invoices!$D$5:$D$34,$A5,Invoices!$M$5:$M$34,"approved",Invoices!$I$5:$I$34,"2026-07")</f>
        <v>2100000</v>
      </c>
      <c r="L5" s="40" t="n">
        <f aca="false">SUMIFS(Invoices!$L$5:$L$34,Invoices!$D$5:$D$34,$A5,Invoices!$M$5:$M$34,"approved",Invoices!$I$5:$I$34,"2026-08")</f>
        <v>4150000</v>
      </c>
      <c r="M5" s="40" t="n">
        <f aca="false">SUMIFS(Invoices!$L$5:$L$34,Invoices!$D$5:$D$34,$A5,Invoices!$M$5:$M$34,"approved",Invoices!$I$5:$I$34,"2026-09")</f>
        <v>1025000</v>
      </c>
    </row>
    <row r="6" customFormat="false" ht="15" hidden="false" customHeight="false" outlineLevel="0" collapsed="false">
      <c r="A6" s="31" t="s">
        <v>114</v>
      </c>
      <c r="B6" s="2" t="s">
        <v>115</v>
      </c>
      <c r="C6" s="2" t="s">
        <v>103</v>
      </c>
      <c r="D6" s="40" t="n">
        <f aca="false">SUMIFS(Invoices!$L$5:$L$34,Invoices!$D$5:$D$34,$A6,Invoices!$M$5:$M$34,"approved")</f>
        <v>5380000</v>
      </c>
      <c r="E6" s="2" t="n">
        <f aca="false">COUNTIFS(Invoices!$D$5:$D$34,$A6,Invoices!$M$5:$M$34,"approved")</f>
        <v>5</v>
      </c>
      <c r="F6" s="40" t="n">
        <f aca="false">IF(E6=0,0,D6/E6)</f>
        <v>1076000</v>
      </c>
      <c r="G6" s="40" t="n">
        <f aca="false">SUMIFS(Invoices!$L$5:$L$34,Invoices!$D$5:$D$34,$A6,Invoices!$M$5:$M$34,"pending")</f>
        <v>0</v>
      </c>
      <c r="H6" s="40" t="n">
        <f aca="false">D6+G6</f>
        <v>5380000</v>
      </c>
      <c r="I6" s="41" t="n">
        <f aca="false">IF(SUMIFS(Invoices!$L$5:$L$34,Invoices!$K$5:$K$34,"IQD",Invoices!$M$5:$M$34,"approved")=0,0,D6/SUMIFS(Invoices!$L$5:$L$34,Invoices!$K$5:$K$34,"IQD",Invoices!$M$5:$M$34,"approved"))</f>
        <v>0.24471230384353</v>
      </c>
      <c r="J6" s="40" t="n">
        <f aca="false">SUMIFS(Invoices!$L$5:$L$34,Invoices!$D$5:$D$34,$A6,Invoices!$M$5:$M$34,"approved",Invoices!$I$5:$I$34,"2026-06")</f>
        <v>0</v>
      </c>
      <c r="K6" s="40" t="n">
        <f aca="false">SUMIFS(Invoices!$L$5:$L$34,Invoices!$D$5:$D$34,$A6,Invoices!$M$5:$M$34,"approved",Invoices!$I$5:$I$34,"2026-07")</f>
        <v>2130000</v>
      </c>
      <c r="L6" s="40" t="n">
        <f aca="false">SUMIFS(Invoices!$L$5:$L$34,Invoices!$D$5:$D$34,$A6,Invoices!$M$5:$M$34,"approved",Invoices!$I$5:$I$34,"2026-08")</f>
        <v>1240000</v>
      </c>
      <c r="M6" s="40" t="n">
        <f aca="false">SUMIFS(Invoices!$L$5:$L$34,Invoices!$D$5:$D$34,$A6,Invoices!$M$5:$M$34,"approved",Invoices!$I$5:$I$34,"2026-09")</f>
        <v>2010000</v>
      </c>
    </row>
    <row r="7" customFormat="false" ht="15" hidden="false" customHeight="false" outlineLevel="0" collapsed="false">
      <c r="A7" s="31" t="s">
        <v>99</v>
      </c>
      <c r="B7" s="2" t="s">
        <v>100</v>
      </c>
      <c r="C7" s="2" t="s">
        <v>103</v>
      </c>
      <c r="D7" s="40" t="n">
        <f aca="false">SUMIFS(Invoices!$L$5:$L$34,Invoices!$D$5:$D$34,$A7,Invoices!$M$5:$M$34,"approved")</f>
        <v>3611000</v>
      </c>
      <c r="E7" s="2" t="n">
        <f aca="false">COUNTIFS(Invoices!$D$5:$D$34,$A7,Invoices!$M$5:$M$34,"approved")</f>
        <v>4</v>
      </c>
      <c r="F7" s="40" t="n">
        <f aca="false">IF(E7=0,0,D7/E7)</f>
        <v>902750</v>
      </c>
      <c r="G7" s="40" t="n">
        <f aca="false">SUMIFS(Invoices!$L$5:$L$34,Invoices!$D$5:$D$34,$A7,Invoices!$M$5:$M$34,"pending")</f>
        <v>0</v>
      </c>
      <c r="H7" s="40" t="n">
        <f aca="false">D7+G7</f>
        <v>3611000</v>
      </c>
      <c r="I7" s="41" t="n">
        <f aca="false">IF(SUMIFS(Invoices!$L$5:$L$34,Invoices!$K$5:$K$34,"IQD",Invoices!$M$5:$M$34,"approved")=0,0,D7/SUMIFS(Invoices!$L$5:$L$34,Invoices!$K$5:$K$34,"IQD",Invoices!$M$5:$M$34,"approved"))</f>
        <v>0.16424835114851</v>
      </c>
      <c r="J7" s="40" t="n">
        <f aca="false">SUMIFS(Invoices!$L$5:$L$34,Invoices!$D$5:$D$34,$A7,Invoices!$M$5:$M$34,"approved",Invoices!$I$5:$I$34,"2026-06")</f>
        <v>870000</v>
      </c>
      <c r="K7" s="40" t="n">
        <f aca="false">SUMIFS(Invoices!$L$5:$L$34,Invoices!$D$5:$D$34,$A7,Invoices!$M$5:$M$34,"approved",Invoices!$I$5:$I$34,"2026-07")</f>
        <v>900000</v>
      </c>
      <c r="L7" s="40" t="n">
        <f aca="false">SUMIFS(Invoices!$L$5:$L$34,Invoices!$D$5:$D$34,$A7,Invoices!$M$5:$M$34,"approved",Invoices!$I$5:$I$34,"2026-08")</f>
        <v>945000</v>
      </c>
      <c r="M7" s="40" t="n">
        <f aca="false">SUMIFS(Invoices!$L$5:$L$34,Invoices!$D$5:$D$34,$A7,Invoices!$M$5:$M$34,"approved",Invoices!$I$5:$I$34,"2026-09")</f>
        <v>896000</v>
      </c>
    </row>
    <row r="8" customFormat="false" ht="15" hidden="false" customHeight="false" outlineLevel="0" collapsed="false">
      <c r="A8" s="31" t="s">
        <v>129</v>
      </c>
      <c r="B8" s="2" t="s">
        <v>130</v>
      </c>
      <c r="C8" s="2" t="s">
        <v>103</v>
      </c>
      <c r="D8" s="40" t="n">
        <f aca="false">SUMIFS(Invoices!$L$5:$L$34,Invoices!$D$5:$D$34,$A8,Invoices!$M$5:$M$34,"approved")</f>
        <v>2944000</v>
      </c>
      <c r="E8" s="2" t="n">
        <f aca="false">COUNTIFS(Invoices!$D$5:$D$34,$A8,Invoices!$M$5:$M$34,"approved")</f>
        <v>5</v>
      </c>
      <c r="F8" s="40" t="n">
        <f aca="false">IF(E8=0,0,D8/E8)</f>
        <v>588800</v>
      </c>
      <c r="G8" s="40" t="n">
        <f aca="false">SUMIFS(Invoices!$L$5:$L$34,Invoices!$D$5:$D$34,$A8,Invoices!$M$5:$M$34,"pending")</f>
        <v>488000</v>
      </c>
      <c r="H8" s="40" t="n">
        <f aca="false">D8+G8</f>
        <v>3432000</v>
      </c>
      <c r="I8" s="41" t="n">
        <f aca="false">IF(SUMIFS(Invoices!$L$5:$L$34,Invoices!$K$5:$K$34,"IQD",Invoices!$M$5:$M$34,"approved")=0,0,D8/SUMIFS(Invoices!$L$5:$L$34,Invoices!$K$5:$K$34,"IQD",Invoices!$M$5:$M$34,"approved"))</f>
        <v>0.133909483738913</v>
      </c>
      <c r="J8" s="40" t="n">
        <f aca="false">SUMIFS(Invoices!$L$5:$L$34,Invoices!$D$5:$D$34,$A8,Invoices!$M$5:$M$34,"approved",Invoices!$I$5:$I$34,"2026-06")</f>
        <v>0</v>
      </c>
      <c r="K8" s="40" t="n">
        <f aca="false">SUMIFS(Invoices!$L$5:$L$34,Invoices!$D$5:$D$34,$A8,Invoices!$M$5:$M$34,"approved",Invoices!$I$5:$I$34,"2026-07")</f>
        <v>640000</v>
      </c>
      <c r="L8" s="40" t="n">
        <f aca="false">SUMIFS(Invoices!$L$5:$L$34,Invoices!$D$5:$D$34,$A8,Invoices!$M$5:$M$34,"approved",Invoices!$I$5:$I$34,"2026-08")</f>
        <v>1295000</v>
      </c>
      <c r="M8" s="40" t="n">
        <f aca="false">SUMIFS(Invoices!$L$5:$L$34,Invoices!$D$5:$D$34,$A8,Invoices!$M$5:$M$34,"approved",Invoices!$I$5:$I$34,"2026-09")</f>
        <v>1009000</v>
      </c>
    </row>
    <row r="9" customFormat="false" ht="15" hidden="false" customHeight="false" outlineLevel="0" collapsed="false">
      <c r="A9" s="31" t="s">
        <v>246</v>
      </c>
      <c r="B9" s="2" t="s">
        <v>247</v>
      </c>
      <c r="C9" s="2" t="s">
        <v>103</v>
      </c>
      <c r="D9" s="40" t="n">
        <f aca="false">SUMIFS(Invoices!$L$5:$L$34,Invoices!$D$5:$D$34,$A9,Invoices!$M$5:$M$34,"approved")</f>
        <v>1500000</v>
      </c>
      <c r="E9" s="2" t="n">
        <f aca="false">COUNTIFS(Invoices!$D$5:$D$34,$A9,Invoices!$M$5:$M$34,"approved")</f>
        <v>1</v>
      </c>
      <c r="F9" s="40" t="n">
        <f aca="false">IF(E9=0,0,D9/E9)</f>
        <v>1500000</v>
      </c>
      <c r="G9" s="40" t="n">
        <f aca="false">SUMIFS(Invoices!$L$5:$L$34,Invoices!$D$5:$D$34,$A9,Invoices!$M$5:$M$34,"pending")</f>
        <v>0</v>
      </c>
      <c r="H9" s="40" t="n">
        <f aca="false">D9+G9</f>
        <v>1500000</v>
      </c>
      <c r="I9" s="41" t="n">
        <f aca="false">IF(SUMIFS(Invoices!$L$5:$L$34,Invoices!$K$5:$K$34,"IQD",Invoices!$M$5:$M$34,"approved")=0,0,D9/SUMIFS(Invoices!$L$5:$L$34,Invoices!$K$5:$K$34,"IQD",Invoices!$M$5:$M$34,"approved"))</f>
        <v>0.0682283375028429</v>
      </c>
      <c r="J9" s="40" t="n">
        <f aca="false">SUMIFS(Invoices!$L$5:$L$34,Invoices!$D$5:$D$34,$A9,Invoices!$M$5:$M$34,"approved",Invoices!$I$5:$I$34,"2026-06")</f>
        <v>0</v>
      </c>
      <c r="K9" s="40" t="n">
        <f aca="false">SUMIFS(Invoices!$L$5:$L$34,Invoices!$D$5:$D$34,$A9,Invoices!$M$5:$M$34,"approved",Invoices!$I$5:$I$34,"2026-07")</f>
        <v>0</v>
      </c>
      <c r="L9" s="40" t="n">
        <f aca="false">SUMIFS(Invoices!$L$5:$L$34,Invoices!$D$5:$D$34,$A9,Invoices!$M$5:$M$34,"approved",Invoices!$I$5:$I$34,"2026-08")</f>
        <v>0</v>
      </c>
      <c r="M9" s="40" t="n">
        <f aca="false">SUMIFS(Invoices!$L$5:$L$34,Invoices!$D$5:$D$34,$A9,Invoices!$M$5:$M$34,"approved",Invoices!$I$5:$I$34,"2026-09")</f>
        <v>1500000</v>
      </c>
    </row>
    <row r="10" customFormat="false" ht="15" hidden="false" customHeight="false" outlineLevel="0" collapsed="false">
      <c r="A10" s="31" t="s">
        <v>202</v>
      </c>
      <c r="B10" s="2" t="s">
        <v>203</v>
      </c>
      <c r="C10" s="2" t="s">
        <v>103</v>
      </c>
      <c r="D10" s="40" t="n">
        <f aca="false">SUMIFS(Invoices!$L$5:$L$34,Invoices!$D$5:$D$34,$A10,Invoices!$M$5:$M$34,"approved")</f>
        <v>800000</v>
      </c>
      <c r="E10" s="2" t="n">
        <f aca="false">COUNTIFS(Invoices!$D$5:$D$34,$A10,Invoices!$M$5:$M$34,"approved")</f>
        <v>1</v>
      </c>
      <c r="F10" s="40" t="n">
        <f aca="false">IF(E10=0,0,D10/E10)</f>
        <v>800000</v>
      </c>
      <c r="G10" s="40" t="n">
        <f aca="false">SUMIFS(Invoices!$L$5:$L$34,Invoices!$D$5:$D$34,$A10,Invoices!$M$5:$M$34,"pending")</f>
        <v>0</v>
      </c>
      <c r="H10" s="40" t="n">
        <f aca="false">D10+G10</f>
        <v>800000</v>
      </c>
      <c r="I10" s="41" t="n">
        <f aca="false">IF(SUMIFS(Invoices!$L$5:$L$34,Invoices!$K$5:$K$34,"IQD",Invoices!$M$5:$M$34,"approved")=0,0,D10/SUMIFS(Invoices!$L$5:$L$34,Invoices!$K$5:$K$34,"IQD",Invoices!$M$5:$M$34,"approved"))</f>
        <v>0.0363884466681829</v>
      </c>
      <c r="J10" s="40" t="n">
        <f aca="false">SUMIFS(Invoices!$L$5:$L$34,Invoices!$D$5:$D$34,$A10,Invoices!$M$5:$M$34,"approved",Invoices!$I$5:$I$34,"2026-06")</f>
        <v>0</v>
      </c>
      <c r="K10" s="40" t="n">
        <f aca="false">SUMIFS(Invoices!$L$5:$L$34,Invoices!$D$5:$D$34,$A10,Invoices!$M$5:$M$34,"approved",Invoices!$I$5:$I$34,"2026-07")</f>
        <v>0</v>
      </c>
      <c r="L10" s="40" t="n">
        <f aca="false">SUMIFS(Invoices!$L$5:$L$34,Invoices!$D$5:$D$34,$A10,Invoices!$M$5:$M$34,"approved",Invoices!$I$5:$I$34,"2026-08")</f>
        <v>0</v>
      </c>
      <c r="M10" s="40" t="n">
        <f aca="false">SUMIFS(Invoices!$L$5:$L$34,Invoices!$D$5:$D$34,$A10,Invoices!$M$5:$M$34,"approved",Invoices!$I$5:$I$34,"2026-09")</f>
        <v>800000</v>
      </c>
    </row>
    <row r="11" customFormat="false" ht="15" hidden="false" customHeight="false" outlineLevel="0" collapsed="false">
      <c r="A11" s="31" t="s">
        <v>177</v>
      </c>
      <c r="B11" s="2" t="s">
        <v>100</v>
      </c>
      <c r="C11" s="2" t="s">
        <v>103</v>
      </c>
      <c r="D11" s="40" t="n">
        <f aca="false">SUMIFS(Invoices!$L$5:$L$34,Invoices!$D$5:$D$34,$A11,Invoices!$M$5:$M$34,"approved")</f>
        <v>475000</v>
      </c>
      <c r="E11" s="2" t="n">
        <f aca="false">COUNTIFS(Invoices!$D$5:$D$34,$A11,Invoices!$M$5:$M$34,"approved")</f>
        <v>1</v>
      </c>
      <c r="F11" s="40" t="n">
        <f aca="false">IF(E11=0,0,D11/E11)</f>
        <v>475000</v>
      </c>
      <c r="G11" s="40" t="n">
        <f aca="false">SUMIFS(Invoices!$L$5:$L$34,Invoices!$D$5:$D$34,$A11,Invoices!$M$5:$M$34,"pending")</f>
        <v>0</v>
      </c>
      <c r="H11" s="40" t="n">
        <f aca="false">D11+G11</f>
        <v>475000</v>
      </c>
      <c r="I11" s="41" t="n">
        <f aca="false">IF(SUMIFS(Invoices!$L$5:$L$34,Invoices!$K$5:$K$34,"IQD",Invoices!$M$5:$M$34,"approved")=0,0,D11/SUMIFS(Invoices!$L$5:$L$34,Invoices!$K$5:$K$34,"IQD",Invoices!$M$5:$M$34,"approved"))</f>
        <v>0.0216056402092336</v>
      </c>
      <c r="J11" s="40" t="n">
        <f aca="false">SUMIFS(Invoices!$L$5:$L$34,Invoices!$D$5:$D$34,$A11,Invoices!$M$5:$M$34,"approved",Invoices!$I$5:$I$34,"2026-06")</f>
        <v>0</v>
      </c>
      <c r="K11" s="40" t="n">
        <f aca="false">SUMIFS(Invoices!$L$5:$L$34,Invoices!$D$5:$D$34,$A11,Invoices!$M$5:$M$34,"approved",Invoices!$I$5:$I$34,"2026-07")</f>
        <v>0</v>
      </c>
      <c r="L11" s="40" t="n">
        <f aca="false">SUMIFS(Invoices!$L$5:$L$34,Invoices!$D$5:$D$34,$A11,Invoices!$M$5:$M$34,"approved",Invoices!$I$5:$I$34,"2026-08")</f>
        <v>0</v>
      </c>
      <c r="M11" s="40" t="n">
        <f aca="false">SUMIFS(Invoices!$L$5:$L$34,Invoices!$D$5:$D$34,$A11,Invoices!$M$5:$M$34,"approved",Invoices!$I$5:$I$34,"2026-09")</f>
        <v>475000</v>
      </c>
    </row>
    <row r="12" customFormat="false" ht="15" hidden="false" customHeight="false" outlineLevel="0" collapsed="false">
      <c r="A12" s="31" t="s">
        <v>219</v>
      </c>
      <c r="B12" s="2" t="s">
        <v>220</v>
      </c>
      <c r="C12" s="2" t="s">
        <v>103</v>
      </c>
      <c r="D12" s="40" t="n">
        <f aca="false">SUMIFS(Invoices!$L$5:$L$34,Invoices!$D$5:$D$34,$A12,Invoices!$M$5:$M$34,"approved")</f>
        <v>0</v>
      </c>
      <c r="E12" s="2" t="n">
        <f aca="false">COUNTIFS(Invoices!$D$5:$D$34,$A12,Invoices!$M$5:$M$34,"approved")</f>
        <v>0</v>
      </c>
      <c r="F12" s="40" t="n">
        <f aca="false">IF(E12=0,0,D12/E12)</f>
        <v>0</v>
      </c>
      <c r="G12" s="40" t="n">
        <f aca="false">SUMIFS(Invoices!$L$5:$L$34,Invoices!$D$5:$D$34,$A12,Invoices!$M$5:$M$34,"pending")</f>
        <v>200000</v>
      </c>
      <c r="H12" s="40" t="n">
        <f aca="false">D12+G12</f>
        <v>200000</v>
      </c>
      <c r="I12" s="41" t="n">
        <f aca="false">IF(SUMIFS(Invoices!$L$5:$L$34,Invoices!$K$5:$K$34,"IQD",Invoices!$M$5:$M$34,"approved")=0,0,D12/SUMIFS(Invoices!$L$5:$L$34,Invoices!$K$5:$K$34,"IQD",Invoices!$M$5:$M$34,"approved"))</f>
        <v>0</v>
      </c>
      <c r="J12" s="40" t="n">
        <f aca="false">SUMIFS(Invoices!$L$5:$L$34,Invoices!$D$5:$D$34,$A12,Invoices!$M$5:$M$34,"approved",Invoices!$I$5:$I$34,"2026-06")</f>
        <v>0</v>
      </c>
      <c r="K12" s="40" t="n">
        <f aca="false">SUMIFS(Invoices!$L$5:$L$34,Invoices!$D$5:$D$34,$A12,Invoices!$M$5:$M$34,"approved",Invoices!$I$5:$I$34,"2026-07")</f>
        <v>0</v>
      </c>
      <c r="L12" s="40" t="n">
        <f aca="false">SUMIFS(Invoices!$L$5:$L$34,Invoices!$D$5:$D$34,$A12,Invoices!$M$5:$M$34,"approved",Invoices!$I$5:$I$34,"2026-08")</f>
        <v>0</v>
      </c>
      <c r="M12" s="40" t="n">
        <f aca="false">SUMIFS(Invoices!$L$5:$L$34,Invoices!$D$5:$D$34,$A12,Invoices!$M$5:$M$34,"approved",Invoices!$I$5:$I$34,"2026-09")</f>
        <v>0</v>
      </c>
    </row>
    <row r="13" customFormat="false" ht="15" hidden="false" customHeight="false" outlineLevel="0" collapsed="false">
      <c r="A13" s="47" t="s">
        <v>339</v>
      </c>
      <c r="B13" s="48"/>
      <c r="C13" s="48"/>
      <c r="D13" s="43" t="n">
        <f aca="false">SUM(D5:D12)</f>
        <v>21985000</v>
      </c>
      <c r="E13" s="49" t="n">
        <f aca="false">SUM(E5:E12)</f>
        <v>21</v>
      </c>
      <c r="F13" s="48"/>
      <c r="G13" s="43" t="n">
        <f aca="false">SUM(G5:G12)</f>
        <v>7438000</v>
      </c>
      <c r="H13" s="43" t="n">
        <f aca="false">SUM(H5:H12)</f>
        <v>29423000</v>
      </c>
      <c r="I13" s="48"/>
      <c r="J13" s="43" t="n">
        <f aca="false">SUM(J5:J12)</f>
        <v>870000</v>
      </c>
      <c r="K13" s="43" t="n">
        <f aca="false">SUM(K5:K12)</f>
        <v>5770000</v>
      </c>
      <c r="L13" s="43" t="n">
        <f aca="false">SUM(L5:L12)</f>
        <v>7630000</v>
      </c>
      <c r="M13" s="43" t="n">
        <f aca="false">SUM(M5:M12)</f>
        <v>7715000</v>
      </c>
    </row>
    <row r="14" customFormat="false" ht="15" hidden="false" customHeight="false" outlineLevel="0" collapsed="false">
      <c r="A14" s="31" t="s">
        <v>121</v>
      </c>
      <c r="B14" s="2" t="s">
        <v>122</v>
      </c>
      <c r="C14" s="2" t="s">
        <v>125</v>
      </c>
      <c r="D14" s="46" t="n">
        <f aca="false">SUMIFS(Invoices!$L$5:$L$34,Invoices!$D$5:$D$34,$A14,Invoices!$M$5:$M$34,"approved")</f>
        <v>5746</v>
      </c>
      <c r="E14" s="2" t="n">
        <f aca="false">COUNTIFS(Invoices!$D$5:$D$34,$A14,Invoices!$M$5:$M$34,"approved")</f>
        <v>5</v>
      </c>
      <c r="F14" s="46" t="n">
        <f aca="false">IF(E14=0,0,D14/E14)</f>
        <v>1149.2</v>
      </c>
      <c r="G14" s="46" t="n">
        <f aca="false">SUMIFS(Invoices!$L$5:$L$34,Invoices!$D$5:$D$34,$A14,Invoices!$M$5:$M$34,"pending")</f>
        <v>0</v>
      </c>
      <c r="H14" s="46" t="n">
        <f aca="false">D14+G14</f>
        <v>5746</v>
      </c>
      <c r="I14" s="2" t="s">
        <v>350</v>
      </c>
      <c r="J14" s="46" t="n">
        <f aca="false">SUMIFS(Invoices!$L$5:$L$34,Invoices!$D$5:$D$34,$A14,Invoices!$M$5:$M$34,"approved",Invoices!$I$5:$I$34,"2026-06")</f>
        <v>0</v>
      </c>
      <c r="K14" s="46" t="n">
        <f aca="false">SUMIFS(Invoices!$L$5:$L$34,Invoices!$D$5:$D$34,$A14,Invoices!$M$5:$M$34,"approved",Invoices!$I$5:$I$34,"2026-07")</f>
        <v>1180</v>
      </c>
      <c r="L14" s="46" t="n">
        <f aca="false">SUMIFS(Invoices!$L$5:$L$34,Invoices!$D$5:$D$34,$A14,Invoices!$M$5:$M$34,"approved",Invoices!$I$5:$I$34,"2026-08")</f>
        <v>2415.5</v>
      </c>
      <c r="M14" s="46" t="n">
        <f aca="false">SUMIFS(Invoices!$L$5:$L$34,Invoices!$D$5:$D$34,$A14,Invoices!$M$5:$M$34,"approved",Invoices!$I$5:$I$34,"2026-09")</f>
        <v>2150.5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40"/>
    <col collapsed="false" customWidth="true" hidden="false" outlineLevel="0" max="8" min="8" style="0" width="44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351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352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0" hidden="false" customHeight="true" outlineLevel="0" collapsed="false">
      <c r="A4" s="5" t="s">
        <v>77</v>
      </c>
      <c r="B4" s="5" t="s">
        <v>80</v>
      </c>
      <c r="C4" s="5" t="s">
        <v>84</v>
      </c>
      <c r="D4" s="5" t="s">
        <v>353</v>
      </c>
      <c r="E4" s="5" t="s">
        <v>89</v>
      </c>
      <c r="F4" s="5" t="s">
        <v>354</v>
      </c>
      <c r="G4" s="5" t="s">
        <v>355</v>
      </c>
      <c r="H4" s="5" t="s">
        <v>356</v>
      </c>
      <c r="I4" s="5" t="s">
        <v>357</v>
      </c>
    </row>
    <row r="5" customFormat="false" ht="23.85" hidden="false" customHeight="false" outlineLevel="0" collapsed="false">
      <c r="A5" s="50" t="s">
        <v>189</v>
      </c>
      <c r="B5" s="51" t="str">
        <f aca="false">INDEX(Invoices!$D$5:$D$34,MATCH($A5,Invoices!$A$5:$A$34,0))</f>
        <v>Babel Maintenance</v>
      </c>
      <c r="C5" s="52" t="n">
        <f aca="false">INDEX(Invoices!$H$5:$H$34,MATCH($A5,Invoices!$A$5:$A$34,0))</f>
        <v>46273</v>
      </c>
      <c r="D5" s="53" t="n">
        <f aca="false">INDEX(Invoices!$L$5:$L$34,MATCH($A5,Invoices!$A$5:$A$34,0))</f>
        <v>6750000</v>
      </c>
      <c r="E5" s="51" t="str">
        <f aca="false">INDEX(Invoices!$M$5:$M$34,MATCH($A5,Invoices!$A$5:$A$34,0))</f>
        <v>pending</v>
      </c>
      <c r="F5" s="51" t="str">
        <f aca="false">INDEX(Invoices!$R$5:$R$34,MATCH($A5,Invoices!$A$5:$A$34,0))</f>
        <v>Unusually large</v>
      </c>
      <c r="G5" s="51" t="str">
        <f aca="false">INDEX(Invoices!$S$5:$S$34,MATCH($A5,Invoices!$A$5:$A$34,0))</f>
        <v>3.2x supplier average of 2,083,333 IQD</v>
      </c>
      <c r="H5" s="50" t="s">
        <v>358</v>
      </c>
      <c r="I5" s="54" t="s">
        <v>359</v>
      </c>
    </row>
    <row r="6" customFormat="false" ht="23.85" hidden="false" customHeight="false" outlineLevel="0" collapsed="false">
      <c r="A6" s="50" t="s">
        <v>234</v>
      </c>
      <c r="B6" s="51" t="str">
        <f aca="false">INDEX(Invoices!$D$5:$D$34,MATCH($A6,Invoices!$A$5:$A$34,0))</f>
        <v>Al-Nakheel Foodstuffs</v>
      </c>
      <c r="C6" s="52" t="n">
        <f aca="false">INDEX(Invoices!$H$5:$H$34,MATCH($A6,Invoices!$A$5:$A$34,0))</f>
        <v>46288</v>
      </c>
      <c r="D6" s="53" t="n">
        <f aca="false">INDEX(Invoices!$L$5:$L$34,MATCH($A6,Invoices!$A$5:$A$34,0))</f>
        <v>488000</v>
      </c>
      <c r="E6" s="51" t="str">
        <f aca="false">INDEX(Invoices!$M$5:$M$34,MATCH($A6,Invoices!$A$5:$A$34,0))</f>
        <v>pending</v>
      </c>
      <c r="F6" s="51" t="str">
        <f aca="false">INDEX(Invoices!$R$5:$R$34,MATCH($A6,Invoices!$A$5:$A$34,0))</f>
        <v>Probable duplicate</v>
      </c>
      <c r="G6" s="51" t="str">
        <f aca="false">INDEX(Invoices!$S$5:$S$34,MATCH($A6,Invoices!$A$5:$A$34,0))</f>
        <v>Same supplier &amp; amount as P-0023, 2 days apart, identical items</v>
      </c>
      <c r="H6" s="50" t="s">
        <v>360</v>
      </c>
      <c r="I6" s="54" t="s">
        <v>359</v>
      </c>
    </row>
    <row r="7" customFormat="false" ht="23.85" hidden="false" customHeight="false" outlineLevel="0" collapsed="false">
      <c r="A7" s="50" t="s">
        <v>217</v>
      </c>
      <c r="B7" s="51" t="str">
        <f aca="false">INDEX(Invoices!$D$5:$D$34,MATCH($A7,Invoices!$A$5:$A$34,0))</f>
        <v>Al-Amin Auto Workshop</v>
      </c>
      <c r="C7" s="52" t="n">
        <f aca="false">INDEX(Invoices!$H$5:$H$34,MATCH($A7,Invoices!$A$5:$A$34,0))</f>
        <v>46283</v>
      </c>
      <c r="D7" s="53" t="n">
        <f aca="false">INDEX(Invoices!$L$5:$L$34,MATCH($A7,Invoices!$A$5:$A$34,0))</f>
        <v>200000</v>
      </c>
      <c r="E7" s="51" t="str">
        <f aca="false">INDEX(Invoices!$M$5:$M$34,MATCH($A7,Invoices!$A$5:$A$34,0))</f>
        <v>pending</v>
      </c>
      <c r="F7" s="51" t="str">
        <f aca="false">INDEX(Invoices!$R$5:$R$34,MATCH($A7,Invoices!$A$5:$A$34,0))</f>
        <v>Weekend date; No tax number</v>
      </c>
      <c r="G7" s="51" t="str">
        <f aca="false">INDEX(Invoices!$S$5:$S$34,MATCH($A7,Invoices!$A$5:$A$34,0))</f>
        <v>Friday 18 Sep 2026; no tax number printed; new supplier</v>
      </c>
      <c r="H7" s="50" t="s">
        <v>361</v>
      </c>
      <c r="I7" s="54" t="s">
        <v>359</v>
      </c>
    </row>
    <row r="8" customFormat="false" ht="23.85" hidden="false" customHeight="false" outlineLevel="0" collapsed="false">
      <c r="A8" s="50" t="s">
        <v>211</v>
      </c>
      <c r="B8" s="51" t="str">
        <f aca="false">INDEX(Invoices!$D$5:$D$34,MATCH($A8,Invoices!$A$5:$A$34,0))</f>
        <v>Dijla Office Supplies</v>
      </c>
      <c r="C8" s="52" t="n">
        <f aca="false">INDEX(Invoices!$H$5:$H$34,MATCH($A8,Invoices!$A$5:$A$34,0))</f>
        <v>46281</v>
      </c>
      <c r="D8" s="53" t="n">
        <f aca="false">INDEX(Invoices!$L$5:$L$34,MATCH($A8,Invoices!$A$5:$A$34,0))</f>
        <v>1060000</v>
      </c>
      <c r="E8" s="51" t="str">
        <f aca="false">INDEX(Invoices!$M$5:$M$34,MATCH($A8,Invoices!$A$5:$A$34,0))</f>
        <v>rejected</v>
      </c>
      <c r="F8" s="51" t="str">
        <f aca="false">INDEX(Invoices!$R$5:$R$34,MATCH($A8,Invoices!$A$5:$A$34,0))</f>
        <v>Exact duplicate</v>
      </c>
      <c r="G8" s="51" t="str">
        <f aca="false">INDEX(Invoices!$S$5:$S$34,MATCH($A8,Invoices!$A$5:$A$34,0))</f>
        <v>Same invoice no. DJ-2026-0952 as P-0021 (photo of same paper invoice)</v>
      </c>
      <c r="H8" s="50" t="s">
        <v>362</v>
      </c>
      <c r="I8" s="55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2"/>
      <c r="B10" s="31" t="s">
        <v>363</v>
      </c>
      <c r="C10" s="2"/>
      <c r="D10" s="56" t="n">
        <f aca="false">Summary!C5</f>
        <v>7715000</v>
      </c>
      <c r="E10" s="2"/>
      <c r="F10" s="2"/>
      <c r="G10" s="2"/>
      <c r="H10" s="2"/>
      <c r="I10" s="2"/>
    </row>
    <row r="11" customFormat="false" ht="15" hidden="false" customHeight="false" outlineLevel="0" collapsed="false">
      <c r="A11" s="2"/>
      <c r="B11" s="31" t="s">
        <v>364</v>
      </c>
      <c r="C11" s="2"/>
      <c r="D11" s="40" t="n">
        <f aca="false">SUMIFS(D5:D7,I5:I7,"Y")</f>
        <v>0</v>
      </c>
      <c r="E11" s="2"/>
      <c r="F11" s="2"/>
      <c r="G11" s="2"/>
      <c r="H11" s="2"/>
      <c r="I11" s="2"/>
    </row>
    <row r="12" customFormat="false" ht="15" hidden="false" customHeight="false" outlineLevel="0" collapsed="false">
      <c r="A12" s="2"/>
      <c r="B12" s="31" t="s">
        <v>365</v>
      </c>
      <c r="C12" s="2"/>
      <c r="D12" s="57" t="n">
        <f aca="false">D10+D11</f>
        <v>7715000</v>
      </c>
      <c r="E12" s="2"/>
      <c r="F12" s="2"/>
      <c r="G12" s="2"/>
      <c r="H12" s="2"/>
      <c r="I12" s="2"/>
    </row>
    <row r="13" customFormat="false" ht="15" hidden="false" customHeight="false" outlineLevel="0" collapsed="false">
      <c r="A13" s="2"/>
      <c r="B13" s="31" t="s">
        <v>10</v>
      </c>
      <c r="C13" s="2"/>
      <c r="D13" s="41" t="n">
        <f aca="false">IF(Summary!C6=0,0,D12/Summary!C6-1)</f>
        <v>0.0111402359108781</v>
      </c>
      <c r="E13" s="2"/>
      <c r="F13" s="2"/>
      <c r="G13" s="2"/>
      <c r="H13" s="2"/>
      <c r="I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2"/>
      <c r="B15" s="3" t="s">
        <v>366</v>
      </c>
      <c r="C15" s="2"/>
      <c r="D15" s="2"/>
      <c r="E15" s="2"/>
      <c r="F15" s="2"/>
      <c r="G15" s="2"/>
      <c r="H15" s="2"/>
      <c r="I15" s="2"/>
    </row>
  </sheetData>
  <dataValidations count="1">
    <dataValidation allowBlank="false" errorStyle="stop" operator="between" showDropDown="false" showErrorMessage="false" showInputMessage="false" sqref="I5:I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52"/>
  </cols>
  <sheetData>
    <row r="1" customFormat="false" ht="19.7" hidden="false" customHeight="false" outlineLevel="0" collapsed="false">
      <c r="A1" s="1" t="s">
        <v>367</v>
      </c>
      <c r="B1" s="2"/>
      <c r="C1" s="2"/>
      <c r="D1" s="2"/>
      <c r="E1" s="2"/>
    </row>
    <row r="2" customFormat="false" ht="15" hidden="false" customHeight="false" outlineLevel="0" collapsed="false">
      <c r="A2" s="3" t="s">
        <v>368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5" t="s">
        <v>369</v>
      </c>
      <c r="B4" s="5" t="s">
        <v>370</v>
      </c>
      <c r="C4" s="5" t="s">
        <v>371</v>
      </c>
      <c r="D4" s="5" t="s">
        <v>58</v>
      </c>
      <c r="E4" s="5" t="s">
        <v>372</v>
      </c>
    </row>
    <row r="5" customFormat="false" ht="26.85" hidden="false" customHeight="false" outlineLevel="0" collapsed="false">
      <c r="A5" s="58" t="s">
        <v>215</v>
      </c>
      <c r="B5" s="55" t="s">
        <v>373</v>
      </c>
      <c r="C5" s="55" t="n">
        <f aca="false">COUNTIFS(Invoices!$R$5:$R$34,"*"&amp;A5&amp;"*",Invoices!$I$5:$I$34,"2026-09")</f>
        <v>1</v>
      </c>
      <c r="D5" s="50" t="s">
        <v>211</v>
      </c>
      <c r="E5" s="55" t="s">
        <v>374</v>
      </c>
    </row>
    <row r="6" customFormat="false" ht="15" hidden="false" customHeight="false" outlineLevel="0" collapsed="false">
      <c r="A6" s="58" t="s">
        <v>237</v>
      </c>
      <c r="B6" s="55" t="s">
        <v>375</v>
      </c>
      <c r="C6" s="55" t="n">
        <f aca="false">COUNTIFS(Invoices!$R$5:$R$34,"*"&amp;A6&amp;"*",Invoices!$I$5:$I$34,"2026-09")</f>
        <v>1</v>
      </c>
      <c r="D6" s="50" t="s">
        <v>234</v>
      </c>
      <c r="E6" s="55" t="s">
        <v>376</v>
      </c>
    </row>
    <row r="7" customFormat="false" ht="26.85" hidden="false" customHeight="false" outlineLevel="0" collapsed="false">
      <c r="A7" s="58" t="s">
        <v>193</v>
      </c>
      <c r="B7" s="55" t="s">
        <v>377</v>
      </c>
      <c r="C7" s="55" t="n">
        <f aca="false">COUNTIFS(Invoices!$R$5:$R$34,"*"&amp;A7&amp;"*",Invoices!$I$5:$I$34,"2026-09")</f>
        <v>1</v>
      </c>
      <c r="D7" s="50" t="s">
        <v>189</v>
      </c>
      <c r="E7" s="55" t="s">
        <v>378</v>
      </c>
    </row>
    <row r="8" customFormat="false" ht="15" hidden="false" customHeight="false" outlineLevel="0" collapsed="false">
      <c r="A8" s="58" t="s">
        <v>379</v>
      </c>
      <c r="B8" s="55" t="s">
        <v>380</v>
      </c>
      <c r="C8" s="55" t="n">
        <f aca="false">COUNTIFS(Invoices!$R$5:$R$34,"*"&amp;A8&amp;"*",Invoices!$I$5:$I$34,"2026-09")</f>
        <v>1</v>
      </c>
      <c r="D8" s="50" t="s">
        <v>217</v>
      </c>
      <c r="E8" s="55" t="s">
        <v>381</v>
      </c>
    </row>
    <row r="9" customFormat="false" ht="15" hidden="false" customHeight="false" outlineLevel="0" collapsed="false">
      <c r="A9" s="58" t="s">
        <v>382</v>
      </c>
      <c r="B9" s="55" t="s">
        <v>383</v>
      </c>
      <c r="C9" s="55" t="n">
        <f aca="false">COUNTIFS(Invoices!$R$5:$R$34,"*"&amp;A9&amp;"*",Invoices!$I$5:$I$34,"2026-09")</f>
        <v>1</v>
      </c>
      <c r="D9" s="50" t="s">
        <v>217</v>
      </c>
      <c r="E9" s="55" t="s">
        <v>384</v>
      </c>
    </row>
    <row r="10" customFormat="false" ht="26.85" hidden="false" customHeight="false" outlineLevel="0" collapsed="false">
      <c r="A10" s="58" t="s">
        <v>385</v>
      </c>
      <c r="B10" s="55" t="s">
        <v>386</v>
      </c>
      <c r="C10" s="55" t="n">
        <f aca="false">COUNTIFS(Invoices!$R$5:$R$34,"*"&amp;A10&amp;"*",Invoices!$I$5:$I$34,"2026-09")</f>
        <v>0</v>
      </c>
      <c r="D10" s="50" t="s">
        <v>387</v>
      </c>
      <c r="E10" s="55" t="s">
        <v>388</v>
      </c>
    </row>
    <row r="11" customFormat="false" ht="15" hidden="false" customHeight="false" outlineLevel="0" collapsed="false">
      <c r="A11" s="58" t="s">
        <v>389</v>
      </c>
      <c r="B11" s="55" t="s">
        <v>390</v>
      </c>
      <c r="C11" s="55" t="n">
        <f aca="false">COUNTIFS(Invoices!$R$5:$R$34,"*"&amp;A11&amp;"*",Invoices!$I$5:$I$34,"2026-09")</f>
        <v>0</v>
      </c>
      <c r="D11" s="50" t="s">
        <v>387</v>
      </c>
      <c r="E11" s="55" t="s">
        <v>391</v>
      </c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31" t="s">
        <v>392</v>
      </c>
      <c r="B13" s="2"/>
      <c r="C13" s="31" t="n">
        <f aca="false">SUM(C5:C11)</f>
        <v>5</v>
      </c>
      <c r="D13" s="2"/>
      <c r="E13" s="2"/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5" hidden="false" customHeight="false" outlineLevel="0" collapsed="false">
      <c r="A15" s="31" t="s">
        <v>393</v>
      </c>
      <c r="B15" s="2"/>
      <c r="C15" s="2"/>
      <c r="D15" s="2"/>
      <c r="E15" s="2"/>
    </row>
    <row r="16" customFormat="false" ht="15" hidden="false" customHeight="false" outlineLevel="0" collapsed="false">
      <c r="A16" s="2" t="s">
        <v>394</v>
      </c>
      <c r="B16" s="2"/>
      <c r="C16" s="15" t="n">
        <v>5</v>
      </c>
      <c r="D16" s="2"/>
      <c r="E16" s="2"/>
    </row>
    <row r="17" customFormat="false" ht="15" hidden="false" customHeight="false" outlineLevel="0" collapsed="false">
      <c r="A17" s="2" t="s">
        <v>395</v>
      </c>
      <c r="B17" s="2"/>
      <c r="C17" s="15" t="n">
        <v>0</v>
      </c>
      <c r="D17" s="2"/>
      <c r="E17" s="2"/>
    </row>
    <row r="18" customFormat="false" ht="15" hidden="false" customHeight="false" outlineLevel="0" collapsed="false">
      <c r="A18" s="2" t="s">
        <v>396</v>
      </c>
      <c r="B18" s="2"/>
      <c r="C18" s="15" t="n">
        <v>0</v>
      </c>
      <c r="D18" s="2"/>
      <c r="E18" s="2"/>
    </row>
    <row r="19" customFormat="false" ht="15" hidden="false" customHeight="false" outlineLevel="0" collapsed="false">
      <c r="A19" s="2" t="s">
        <v>18</v>
      </c>
      <c r="B19" s="2"/>
      <c r="C19" s="15" t="n">
        <v>90</v>
      </c>
      <c r="D19" s="2"/>
      <c r="E19" s="2"/>
    </row>
    <row r="20" customFormat="false" ht="15" hidden="false" customHeight="false" outlineLevel="0" collapsed="false">
      <c r="A20" s="2" t="s">
        <v>397</v>
      </c>
      <c r="B20" s="2"/>
      <c r="C20" s="15" t="n">
        <v>90</v>
      </c>
      <c r="D20" s="2"/>
      <c r="E20" s="2"/>
    </row>
    <row r="21" customFormat="false" ht="15" hidden="false" customHeight="false" outlineLevel="0" collapsed="false">
      <c r="A21" s="2" t="s">
        <v>398</v>
      </c>
      <c r="B21" s="2"/>
      <c r="C21" s="59" t="str">
        <f aca="false">IF(COUNTIF('Line Items'!L5:L20,"CHECK")=0,"OK","CHECK")</f>
        <v>OK</v>
      </c>
      <c r="D21" s="2"/>
      <c r="E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4"/>
  </cols>
  <sheetData>
    <row r="1" customFormat="false" ht="19.7" hidden="false" customHeight="false" outlineLevel="0" collapsed="false">
      <c r="A1" s="1" t="s">
        <v>399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400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0" hidden="false" customHeight="true" outlineLevel="0" collapsed="false">
      <c r="A4" s="5" t="s">
        <v>401</v>
      </c>
      <c r="B4" s="5" t="s">
        <v>80</v>
      </c>
      <c r="C4" s="5" t="s">
        <v>402</v>
      </c>
      <c r="D4" s="5" t="s">
        <v>403</v>
      </c>
      <c r="E4" s="5" t="s">
        <v>87</v>
      </c>
      <c r="F4" s="5" t="s">
        <v>404</v>
      </c>
      <c r="G4" s="5" t="s">
        <v>405</v>
      </c>
      <c r="H4" s="5" t="s">
        <v>406</v>
      </c>
    </row>
    <row r="5" customFormat="false" ht="15" hidden="false" customHeight="false" outlineLevel="0" collapsed="false">
      <c r="A5" s="31" t="s">
        <v>407</v>
      </c>
      <c r="B5" s="2" t="s">
        <v>99</v>
      </c>
      <c r="C5" s="15" t="s">
        <v>167</v>
      </c>
      <c r="D5" s="56" t="n">
        <f aca="false">INDEX(Invoices!$L$5:$L$34,MATCH(C5,Invoices!$A$5:$A$34,0))</f>
        <v>896000</v>
      </c>
      <c r="E5" s="59" t="str">
        <f aca="false">INDEX(Invoices!$K$5:$K$34,MATCH(C5,Invoices!$A$5:$A$34,0))</f>
        <v>IQD</v>
      </c>
      <c r="F5" s="60" t="n">
        <v>12</v>
      </c>
      <c r="G5" s="40" t="n">
        <f aca="false">D5*F5</f>
        <v>10752000</v>
      </c>
      <c r="H5" s="15" t="s">
        <v>408</v>
      </c>
    </row>
    <row r="6" customFormat="false" ht="15" hidden="false" customHeight="false" outlineLevel="0" collapsed="false">
      <c r="A6" s="31" t="s">
        <v>409</v>
      </c>
      <c r="B6" s="2" t="s">
        <v>177</v>
      </c>
      <c r="C6" s="15" t="s">
        <v>174</v>
      </c>
      <c r="D6" s="56" t="n">
        <f aca="false">INDEX(Invoices!$L$5:$L$34,MATCH(C6,Invoices!$A$5:$A$34,0))</f>
        <v>475000</v>
      </c>
      <c r="E6" s="59" t="str">
        <f aca="false">INDEX(Invoices!$K$5:$K$34,MATCH(C6,Invoices!$A$5:$A$34,0))</f>
        <v>IQD</v>
      </c>
      <c r="F6" s="60" t="n">
        <v>12</v>
      </c>
      <c r="G6" s="40" t="n">
        <f aca="false">D6*F6</f>
        <v>5700000</v>
      </c>
      <c r="H6" s="15" t="s">
        <v>408</v>
      </c>
    </row>
    <row r="7" customFormat="false" ht="15" hidden="false" customHeight="false" outlineLevel="0" collapsed="false">
      <c r="A7" s="31" t="s">
        <v>410</v>
      </c>
      <c r="B7" s="2" t="s">
        <v>246</v>
      </c>
      <c r="C7" s="15" t="s">
        <v>243</v>
      </c>
      <c r="D7" s="56" t="n">
        <f aca="false">INDEX(Invoices!$L$5:$L$34,MATCH(C7,Invoices!$A$5:$A$34,0))</f>
        <v>1500000</v>
      </c>
      <c r="E7" s="59" t="str">
        <f aca="false">INDEX(Invoices!$K$5:$K$34,MATCH(C7,Invoices!$A$5:$A$34,0))</f>
        <v>IQD</v>
      </c>
      <c r="F7" s="60" t="n">
        <v>4</v>
      </c>
      <c r="G7" s="40" t="n">
        <f aca="false">D7*F7</f>
        <v>6000000</v>
      </c>
      <c r="H7" s="15" t="s">
        <v>411</v>
      </c>
    </row>
    <row r="8" customFormat="false" ht="15" hidden="false" customHeight="false" outlineLevel="0" collapsed="false">
      <c r="A8" s="31" t="s">
        <v>412</v>
      </c>
      <c r="B8" s="2" t="s">
        <v>121</v>
      </c>
      <c r="C8" s="15" t="s">
        <v>239</v>
      </c>
      <c r="D8" s="33" t="n">
        <f aca="false">INDEX(Invoices!$L$5:$L$34,MATCH(C8,Invoices!$A$5:$A$34,0))</f>
        <v>942.5</v>
      </c>
      <c r="E8" s="59" t="str">
        <f aca="false">INDEX(Invoices!$K$5:$K$34,MATCH(C8,Invoices!$A$5:$A$34,0))</f>
        <v>USD</v>
      </c>
      <c r="F8" s="60" t="n">
        <v>1</v>
      </c>
      <c r="G8" s="46" t="n">
        <f aca="false">D8*F8</f>
        <v>942.5</v>
      </c>
      <c r="H8" s="15" t="s">
        <v>413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31" t="s">
        <v>55</v>
      </c>
      <c r="B10" s="2"/>
      <c r="C10" s="2"/>
      <c r="D10" s="2"/>
      <c r="E10" s="2"/>
      <c r="F10" s="2"/>
      <c r="G10" s="61" t="n">
        <f aca="false">D5+D6</f>
        <v>1371000</v>
      </c>
      <c r="H10" s="2"/>
    </row>
    <row r="11" customFormat="false" ht="15" hidden="false" customHeight="false" outlineLevel="0" collapsed="false">
      <c r="A11" s="31" t="s">
        <v>414</v>
      </c>
      <c r="B11" s="2"/>
      <c r="C11" s="2"/>
      <c r="D11" s="2"/>
      <c r="E11" s="2"/>
      <c r="F11" s="2"/>
      <c r="G11" s="61" t="n">
        <f aca="false">G5+G6+G7</f>
        <v>22452000</v>
      </c>
      <c r="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3" t="s">
        <v>415</v>
      </c>
      <c r="B13" s="2"/>
      <c r="C13" s="2"/>
      <c r="D13" s="2"/>
      <c r="E13" s="2"/>
      <c r="F13" s="2"/>
      <c r="G13" s="2"/>
      <c r="H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2026-10-25T17:48:28Z</dcterms:created>
  <dc:creator>openpyxl</dc:creator>
  <dc:description/>
  <dc:language>en-US</dc:language>
  <cp:lastModifiedBy/>
  <dcterms:modified xsi:type="dcterms:W3CDTF">2026-10-25T17:48:28Z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